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stavo\Desktop\Curso Data Science UBA\TPs\2_2_1 filtrado reconciliacion de datos\"/>
    </mc:Choice>
  </mc:AlternateContent>
  <xr:revisionPtr revIDLastSave="0" documentId="13_ncr:1_{382981D4-96A2-492D-89D8-7ECD0773C5C4}" xr6:coauthVersionLast="45" xr6:coauthVersionMax="45" xr10:uidLastSave="{00000000-0000-0000-0000-000000000000}"/>
  <bookViews>
    <workbookView xWindow="4485" yWindow="3930" windowWidth="21600" windowHeight="11385" tabRatio="712" firstSheet="1" activeTab="2" xr2:uid="{BD630647-1E94-4F3A-B6A7-0D608040873E}"/>
  </bookViews>
  <sheets>
    <sheet name="datos instrumentos" sheetId="4" r:id="rId1"/>
    <sheet name="Error" sheetId="1" r:id="rId2"/>
    <sheet name="reconciliación" sheetId="2" r:id="rId3"/>
    <sheet name="Diagrama" sheetId="3" r:id="rId4"/>
    <sheet name="Seguimiento" sheetId="5" r:id="rId5"/>
    <sheet name="Hoja1" sheetId="6" r:id="rId6"/>
  </sheets>
  <definedNames>
    <definedName name="solver_adj" localSheetId="2" hidden="1">reconciliación!$N$9:$Y$9</definedName>
    <definedName name="solver_cvg" localSheetId="2" hidden="1">0.0001</definedName>
    <definedName name="solver_drv" localSheetId="2" hidden="1">1</definedName>
    <definedName name="solver_eng" localSheetId="5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reconciliación!$Z$9:$AD$9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5" hidden="1">1</definedName>
    <definedName name="solver_neg" localSheetId="2" hidden="1">1</definedName>
    <definedName name="solver_nod" localSheetId="2" hidden="1">2147483647</definedName>
    <definedName name="solver_num" localSheetId="5" hidden="1">0</definedName>
    <definedName name="solver_num" localSheetId="2" hidden="1">1</definedName>
    <definedName name="solver_nwt" localSheetId="2" hidden="1">1</definedName>
    <definedName name="solver_opt" localSheetId="5" hidden="1">Hoja1!$G$15</definedName>
    <definedName name="solver_opt" localSheetId="2" hidden="1">reconciliación!$AQ$9</definedName>
    <definedName name="solver_pre" localSheetId="2" hidden="1">0.000001</definedName>
    <definedName name="solver_rbv" localSheetId="2" hidden="1">1</definedName>
    <definedName name="solver_rel1" localSheetId="2" hidden="1">2</definedName>
    <definedName name="solver_rhs1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5" hidden="1">1</definedName>
    <definedName name="solver_typ" localSheetId="2" hidden="1">2</definedName>
    <definedName name="solver_val" localSheetId="5" hidden="1">0</definedName>
    <definedName name="solver_val" localSheetId="2" hidden="1">0</definedName>
    <definedName name="solver_ver" localSheetId="5" hidden="1">3</definedName>
    <definedName name="solver_ver" localSheetId="2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Q10" i="2" l="1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E5" i="2"/>
  <c r="AF5" i="2"/>
  <c r="AG5" i="2"/>
  <c r="AH5" i="2"/>
  <c r="AI5" i="2"/>
  <c r="AJ5" i="2"/>
  <c r="AK5" i="2"/>
  <c r="AL5" i="2"/>
  <c r="AM5" i="2"/>
  <c r="AN5" i="2"/>
  <c r="AO5" i="2"/>
  <c r="AP5" i="2"/>
  <c r="AE6" i="2"/>
  <c r="AF6" i="2"/>
  <c r="AG6" i="2"/>
  <c r="AH6" i="2"/>
  <c r="AI6" i="2"/>
  <c r="AJ6" i="2"/>
  <c r="AK6" i="2"/>
  <c r="AL6" i="2"/>
  <c r="AM6" i="2"/>
  <c r="AN6" i="2"/>
  <c r="AO6" i="2"/>
  <c r="AP6" i="2"/>
  <c r="AE7" i="2"/>
  <c r="AF7" i="2"/>
  <c r="AG7" i="2"/>
  <c r="AH7" i="2"/>
  <c r="AI7" i="2"/>
  <c r="AJ7" i="2"/>
  <c r="AK7" i="2"/>
  <c r="AL7" i="2"/>
  <c r="AM7" i="2"/>
  <c r="AN7" i="2"/>
  <c r="AO7" i="2"/>
  <c r="AP7" i="2"/>
  <c r="AE8" i="2"/>
  <c r="AF8" i="2"/>
  <c r="AG8" i="2"/>
  <c r="AH8" i="2"/>
  <c r="AI8" i="2"/>
  <c r="AJ8" i="2"/>
  <c r="AK8" i="2"/>
  <c r="AL8" i="2"/>
  <c r="AM8" i="2"/>
  <c r="AN8" i="2"/>
  <c r="AO8" i="2"/>
  <c r="AP8" i="2"/>
  <c r="AE9" i="2"/>
  <c r="AF9" i="2"/>
  <c r="AG9" i="2"/>
  <c r="AH9" i="2"/>
  <c r="AI9" i="2"/>
  <c r="AJ9" i="2"/>
  <c r="AK9" i="2"/>
  <c r="AL9" i="2"/>
  <c r="AM9" i="2"/>
  <c r="AN9" i="2"/>
  <c r="AO9" i="2"/>
  <c r="AP9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F4" i="2"/>
  <c r="AG4" i="2"/>
  <c r="AH4" i="2"/>
  <c r="AI4" i="2"/>
  <c r="AJ4" i="2"/>
  <c r="AK4" i="2"/>
  <c r="AL4" i="2"/>
  <c r="AM4" i="2"/>
  <c r="AN4" i="2"/>
  <c r="AO4" i="2"/>
  <c r="AP4" i="2"/>
  <c r="AE4" i="2"/>
  <c r="Z5" i="2"/>
  <c r="AA5" i="2"/>
  <c r="AB5" i="2"/>
  <c r="AC5" i="2"/>
  <c r="AD5" i="2"/>
  <c r="Z6" i="2"/>
  <c r="AA6" i="2"/>
  <c r="AB6" i="2"/>
  <c r="AC6" i="2"/>
  <c r="AD6" i="2"/>
  <c r="Z7" i="2"/>
  <c r="AA7" i="2"/>
  <c r="AB7" i="2"/>
  <c r="AC7" i="2"/>
  <c r="AD7" i="2"/>
  <c r="Z8" i="2"/>
  <c r="AA8" i="2"/>
  <c r="AB8" i="2"/>
  <c r="AC8" i="2"/>
  <c r="AD8" i="2"/>
  <c r="Z9" i="2"/>
  <c r="AA9" i="2"/>
  <c r="AB9" i="2"/>
  <c r="AC9" i="2"/>
  <c r="AD9" i="2"/>
  <c r="Z10" i="2"/>
  <c r="AA10" i="2"/>
  <c r="AB10" i="2"/>
  <c r="AC10" i="2"/>
  <c r="AD10" i="2"/>
  <c r="Z11" i="2"/>
  <c r="AA11" i="2"/>
  <c r="AB11" i="2"/>
  <c r="AC11" i="2"/>
  <c r="AD11" i="2"/>
  <c r="Z12" i="2"/>
  <c r="AA12" i="2"/>
  <c r="AB12" i="2"/>
  <c r="AC12" i="2"/>
  <c r="AD12" i="2"/>
  <c r="Z13" i="2"/>
  <c r="AA13" i="2"/>
  <c r="AB13" i="2"/>
  <c r="AC13" i="2"/>
  <c r="AD13" i="2"/>
  <c r="Z14" i="2"/>
  <c r="AA14" i="2"/>
  <c r="AB14" i="2"/>
  <c r="AC14" i="2"/>
  <c r="AD14" i="2"/>
  <c r="Z15" i="2"/>
  <c r="AA15" i="2"/>
  <c r="AB15" i="2"/>
  <c r="AC15" i="2"/>
  <c r="AD15" i="2"/>
  <c r="Z16" i="2"/>
  <c r="AA16" i="2"/>
  <c r="AB16" i="2"/>
  <c r="AC16" i="2"/>
  <c r="AD16" i="2"/>
  <c r="Z17" i="2"/>
  <c r="AA17" i="2"/>
  <c r="AB17" i="2"/>
  <c r="AC17" i="2"/>
  <c r="AD17" i="2"/>
  <c r="Z18" i="2"/>
  <c r="AA18" i="2"/>
  <c r="AB18" i="2"/>
  <c r="AC18" i="2"/>
  <c r="AD18" i="2"/>
  <c r="Z19" i="2"/>
  <c r="AA19" i="2"/>
  <c r="AB19" i="2"/>
  <c r="AC19" i="2"/>
  <c r="AD19" i="2"/>
  <c r="Z20" i="2"/>
  <c r="AA20" i="2"/>
  <c r="AB20" i="2"/>
  <c r="AC20" i="2"/>
  <c r="AD20" i="2"/>
  <c r="Z21" i="2"/>
  <c r="AA21" i="2"/>
  <c r="AB21" i="2"/>
  <c r="AC21" i="2"/>
  <c r="AD21" i="2"/>
  <c r="Z22" i="2"/>
  <c r="AA22" i="2"/>
  <c r="AB22" i="2"/>
  <c r="AC22" i="2"/>
  <c r="AD22" i="2"/>
  <c r="Z23" i="2"/>
  <c r="AA23" i="2"/>
  <c r="AB23" i="2"/>
  <c r="AC23" i="2"/>
  <c r="AD23" i="2"/>
  <c r="Z24" i="2"/>
  <c r="AA24" i="2"/>
  <c r="AB24" i="2"/>
  <c r="AC24" i="2"/>
  <c r="AD24" i="2"/>
  <c r="Z25" i="2"/>
  <c r="AA25" i="2"/>
  <c r="AB25" i="2"/>
  <c r="AC25" i="2"/>
  <c r="AD25" i="2"/>
  <c r="Z26" i="2"/>
  <c r="AA26" i="2"/>
  <c r="AB26" i="2"/>
  <c r="AC26" i="2"/>
  <c r="AD26" i="2"/>
  <c r="Z27" i="2"/>
  <c r="AA27" i="2"/>
  <c r="AB27" i="2"/>
  <c r="AC27" i="2"/>
  <c r="AD27" i="2"/>
  <c r="Z28" i="2"/>
  <c r="AA28" i="2"/>
  <c r="AB28" i="2"/>
  <c r="AC28" i="2"/>
  <c r="AD28" i="2"/>
  <c r="Z29" i="2"/>
  <c r="AA29" i="2"/>
  <c r="AB29" i="2"/>
  <c r="AC29" i="2"/>
  <c r="AD29" i="2"/>
  <c r="Z30" i="2"/>
  <c r="AA30" i="2"/>
  <c r="AB30" i="2"/>
  <c r="AC30" i="2"/>
  <c r="AD30" i="2"/>
  <c r="AD4" i="2"/>
  <c r="AC4" i="2"/>
  <c r="AB4" i="2"/>
  <c r="AA4" i="2"/>
  <c r="Z4" i="2"/>
  <c r="F15" i="6"/>
  <c r="G15" i="6" s="1"/>
  <c r="F16" i="6"/>
  <c r="G16" i="6"/>
  <c r="F17" i="6"/>
  <c r="G17" i="6"/>
  <c r="F18" i="6"/>
  <c r="G18" i="6" s="1"/>
  <c r="F19" i="6"/>
  <c r="G19" i="6" s="1"/>
  <c r="AQ9" i="2" l="1"/>
  <c r="AQ8" i="2"/>
  <c r="AQ7" i="2"/>
  <c r="AQ6" i="2"/>
  <c r="AQ5" i="2"/>
  <c r="AQ4" i="2"/>
  <c r="G20" i="6"/>
  <c r="AP35" i="2" l="1"/>
  <c r="BC35" i="2" s="1"/>
  <c r="AO35" i="2"/>
  <c r="BB35" i="2" s="1"/>
  <c r="AN35" i="2"/>
  <c r="BA35" i="2" s="1"/>
  <c r="AM35" i="2"/>
  <c r="AZ35" i="2" s="1"/>
  <c r="AL35" i="2"/>
  <c r="AY35" i="2" s="1"/>
  <c r="AK35" i="2"/>
  <c r="AX35" i="2" s="1"/>
  <c r="AJ35" i="2"/>
  <c r="AW35" i="2" s="1"/>
  <c r="AI35" i="2"/>
  <c r="AV35" i="2" s="1"/>
  <c r="AH35" i="2"/>
  <c r="AU35" i="2" s="1"/>
  <c r="AG35" i="2"/>
  <c r="AT35" i="2" s="1"/>
  <c r="AF35" i="2"/>
  <c r="AS35" i="2" s="1"/>
  <c r="AE35" i="2"/>
  <c r="AR35" i="2" s="1"/>
  <c r="AD35" i="2"/>
  <c r="AC35" i="2"/>
  <c r="AB35" i="2"/>
  <c r="AA35" i="2"/>
  <c r="Z35" i="2"/>
  <c r="AU34" i="2"/>
  <c r="AP34" i="2"/>
  <c r="BC34" i="2" s="1"/>
  <c r="AO34" i="2"/>
  <c r="BB34" i="2" s="1"/>
  <c r="AN34" i="2"/>
  <c r="BA34" i="2" s="1"/>
  <c r="AM34" i="2"/>
  <c r="AZ34" i="2" s="1"/>
  <c r="AL34" i="2"/>
  <c r="AY34" i="2" s="1"/>
  <c r="AK34" i="2"/>
  <c r="AX34" i="2" s="1"/>
  <c r="AJ34" i="2"/>
  <c r="AW34" i="2" s="1"/>
  <c r="AI34" i="2"/>
  <c r="AV34" i="2" s="1"/>
  <c r="AH34" i="2"/>
  <c r="AG34" i="2"/>
  <c r="AT34" i="2" s="1"/>
  <c r="AF34" i="2"/>
  <c r="AS34" i="2" s="1"/>
  <c r="AE34" i="2"/>
  <c r="AR34" i="2" s="1"/>
  <c r="AD34" i="2"/>
  <c r="AC34" i="2"/>
  <c r="AB34" i="2"/>
  <c r="AA34" i="2"/>
  <c r="Z34" i="2"/>
  <c r="B5" i="1"/>
  <c r="AR5" i="2" s="1"/>
  <c r="C5" i="1"/>
  <c r="AS5" i="2" s="1"/>
  <c r="D5" i="1"/>
  <c r="AT5" i="2" s="1"/>
  <c r="E5" i="1"/>
  <c r="AU5" i="2" s="1"/>
  <c r="F5" i="1"/>
  <c r="AV5" i="2" s="1"/>
  <c r="G5" i="1"/>
  <c r="AW5" i="2" s="1"/>
  <c r="H5" i="1"/>
  <c r="AX5" i="2" s="1"/>
  <c r="I5" i="1"/>
  <c r="AY5" i="2" s="1"/>
  <c r="J5" i="1"/>
  <c r="AZ5" i="2" s="1"/>
  <c r="K5" i="1"/>
  <c r="BA5" i="2" s="1"/>
  <c r="L5" i="1"/>
  <c r="BB5" i="2" s="1"/>
  <c r="M5" i="1"/>
  <c r="BC5" i="2" s="1"/>
  <c r="B6" i="1"/>
  <c r="AR6" i="2" s="1"/>
  <c r="C6" i="1"/>
  <c r="AS6" i="2" s="1"/>
  <c r="D6" i="1"/>
  <c r="AT6" i="2" s="1"/>
  <c r="E6" i="1"/>
  <c r="AU6" i="2" s="1"/>
  <c r="F6" i="1"/>
  <c r="AV6" i="2" s="1"/>
  <c r="G6" i="1"/>
  <c r="AW6" i="2" s="1"/>
  <c r="H6" i="1"/>
  <c r="AX6" i="2" s="1"/>
  <c r="I6" i="1"/>
  <c r="AY6" i="2" s="1"/>
  <c r="J6" i="1"/>
  <c r="AZ6" i="2" s="1"/>
  <c r="K6" i="1"/>
  <c r="BA6" i="2" s="1"/>
  <c r="L6" i="1"/>
  <c r="BB6" i="2" s="1"/>
  <c r="M6" i="1"/>
  <c r="BC6" i="2" s="1"/>
  <c r="B7" i="1"/>
  <c r="AR7" i="2" s="1"/>
  <c r="C7" i="1"/>
  <c r="AS7" i="2" s="1"/>
  <c r="D7" i="1"/>
  <c r="AT7" i="2" s="1"/>
  <c r="E7" i="1"/>
  <c r="AU7" i="2" s="1"/>
  <c r="F7" i="1"/>
  <c r="AV7" i="2" s="1"/>
  <c r="G7" i="1"/>
  <c r="AW7" i="2" s="1"/>
  <c r="H7" i="1"/>
  <c r="AX7" i="2" s="1"/>
  <c r="I7" i="1"/>
  <c r="AY7" i="2" s="1"/>
  <c r="J7" i="1"/>
  <c r="AZ7" i="2" s="1"/>
  <c r="K7" i="1"/>
  <c r="BA7" i="2" s="1"/>
  <c r="L7" i="1"/>
  <c r="BB7" i="2" s="1"/>
  <c r="M7" i="1"/>
  <c r="BC7" i="2" s="1"/>
  <c r="B8" i="1"/>
  <c r="AR8" i="2" s="1"/>
  <c r="C8" i="1"/>
  <c r="AS8" i="2" s="1"/>
  <c r="D8" i="1"/>
  <c r="AT8" i="2" s="1"/>
  <c r="E8" i="1"/>
  <c r="AU8" i="2" s="1"/>
  <c r="F8" i="1"/>
  <c r="AV8" i="2" s="1"/>
  <c r="G8" i="1"/>
  <c r="AW8" i="2" s="1"/>
  <c r="H8" i="1"/>
  <c r="AX8" i="2" s="1"/>
  <c r="I8" i="1"/>
  <c r="AY8" i="2" s="1"/>
  <c r="J8" i="1"/>
  <c r="AZ8" i="2" s="1"/>
  <c r="K8" i="1"/>
  <c r="BA8" i="2" s="1"/>
  <c r="L8" i="1"/>
  <c r="BB8" i="2" s="1"/>
  <c r="M8" i="1"/>
  <c r="BC8" i="2" s="1"/>
  <c r="B9" i="1"/>
  <c r="AR9" i="2" s="1"/>
  <c r="C9" i="1"/>
  <c r="AS9" i="2" s="1"/>
  <c r="D9" i="1"/>
  <c r="AT9" i="2" s="1"/>
  <c r="E9" i="1"/>
  <c r="AU9" i="2" s="1"/>
  <c r="F9" i="1"/>
  <c r="AV9" i="2" s="1"/>
  <c r="G9" i="1"/>
  <c r="AW9" i="2" s="1"/>
  <c r="H9" i="1"/>
  <c r="AX9" i="2" s="1"/>
  <c r="I9" i="1"/>
  <c r="AY9" i="2" s="1"/>
  <c r="J9" i="1"/>
  <c r="AZ9" i="2" s="1"/>
  <c r="K9" i="1"/>
  <c r="BA9" i="2" s="1"/>
  <c r="L9" i="1"/>
  <c r="BB9" i="2" s="1"/>
  <c r="M9" i="1"/>
  <c r="BC9" i="2" s="1"/>
  <c r="B10" i="1"/>
  <c r="AR10" i="2" s="1"/>
  <c r="C10" i="1"/>
  <c r="AS10" i="2" s="1"/>
  <c r="D10" i="1"/>
  <c r="AT10" i="2" s="1"/>
  <c r="E10" i="1"/>
  <c r="AU10" i="2" s="1"/>
  <c r="F10" i="1"/>
  <c r="AV10" i="2" s="1"/>
  <c r="G10" i="1"/>
  <c r="AW10" i="2" s="1"/>
  <c r="H10" i="1"/>
  <c r="AX10" i="2" s="1"/>
  <c r="I10" i="1"/>
  <c r="AY10" i="2" s="1"/>
  <c r="J10" i="1"/>
  <c r="AZ10" i="2" s="1"/>
  <c r="K10" i="1"/>
  <c r="BA10" i="2" s="1"/>
  <c r="L10" i="1"/>
  <c r="BB10" i="2" s="1"/>
  <c r="M10" i="1"/>
  <c r="BC10" i="2" s="1"/>
  <c r="B11" i="1"/>
  <c r="AR11" i="2" s="1"/>
  <c r="C11" i="1"/>
  <c r="AS11" i="2" s="1"/>
  <c r="D11" i="1"/>
  <c r="AT11" i="2" s="1"/>
  <c r="E11" i="1"/>
  <c r="AU11" i="2" s="1"/>
  <c r="F11" i="1"/>
  <c r="AV11" i="2" s="1"/>
  <c r="G11" i="1"/>
  <c r="AW11" i="2" s="1"/>
  <c r="H11" i="1"/>
  <c r="AX11" i="2" s="1"/>
  <c r="I11" i="1"/>
  <c r="AY11" i="2" s="1"/>
  <c r="J11" i="1"/>
  <c r="AZ11" i="2" s="1"/>
  <c r="K11" i="1"/>
  <c r="BA11" i="2" s="1"/>
  <c r="L11" i="1"/>
  <c r="BB11" i="2" s="1"/>
  <c r="M11" i="1"/>
  <c r="BC11" i="2" s="1"/>
  <c r="B12" i="1"/>
  <c r="AR12" i="2" s="1"/>
  <c r="C12" i="1"/>
  <c r="AS12" i="2" s="1"/>
  <c r="D12" i="1"/>
  <c r="AT12" i="2" s="1"/>
  <c r="E12" i="1"/>
  <c r="AU12" i="2" s="1"/>
  <c r="F12" i="1"/>
  <c r="AV12" i="2" s="1"/>
  <c r="G12" i="1"/>
  <c r="AW12" i="2" s="1"/>
  <c r="H12" i="1"/>
  <c r="AX12" i="2" s="1"/>
  <c r="I12" i="1"/>
  <c r="AY12" i="2" s="1"/>
  <c r="J12" i="1"/>
  <c r="AZ12" i="2" s="1"/>
  <c r="K12" i="1"/>
  <c r="BA12" i="2" s="1"/>
  <c r="L12" i="1"/>
  <c r="BB12" i="2" s="1"/>
  <c r="M12" i="1"/>
  <c r="BC12" i="2" s="1"/>
  <c r="B13" i="1"/>
  <c r="AR13" i="2" s="1"/>
  <c r="C13" i="1"/>
  <c r="AS13" i="2" s="1"/>
  <c r="D13" i="1"/>
  <c r="AT13" i="2" s="1"/>
  <c r="E13" i="1"/>
  <c r="AU13" i="2" s="1"/>
  <c r="F13" i="1"/>
  <c r="AV13" i="2" s="1"/>
  <c r="G13" i="1"/>
  <c r="AW13" i="2" s="1"/>
  <c r="H13" i="1"/>
  <c r="AX13" i="2" s="1"/>
  <c r="I13" i="1"/>
  <c r="AY13" i="2" s="1"/>
  <c r="J13" i="1"/>
  <c r="AZ13" i="2" s="1"/>
  <c r="K13" i="1"/>
  <c r="BA13" i="2" s="1"/>
  <c r="L13" i="1"/>
  <c r="BB13" i="2" s="1"/>
  <c r="M13" i="1"/>
  <c r="BC13" i="2" s="1"/>
  <c r="B14" i="1"/>
  <c r="AR14" i="2" s="1"/>
  <c r="C14" i="1"/>
  <c r="AS14" i="2" s="1"/>
  <c r="D14" i="1"/>
  <c r="AT14" i="2" s="1"/>
  <c r="E14" i="1"/>
  <c r="AU14" i="2" s="1"/>
  <c r="F14" i="1"/>
  <c r="AV14" i="2" s="1"/>
  <c r="G14" i="1"/>
  <c r="AW14" i="2" s="1"/>
  <c r="H14" i="1"/>
  <c r="AX14" i="2" s="1"/>
  <c r="I14" i="1"/>
  <c r="AY14" i="2" s="1"/>
  <c r="J14" i="1"/>
  <c r="AZ14" i="2" s="1"/>
  <c r="K14" i="1"/>
  <c r="BA14" i="2" s="1"/>
  <c r="L14" i="1"/>
  <c r="BB14" i="2" s="1"/>
  <c r="M14" i="1"/>
  <c r="BC14" i="2" s="1"/>
  <c r="B15" i="1"/>
  <c r="AR15" i="2" s="1"/>
  <c r="C15" i="1"/>
  <c r="AS15" i="2" s="1"/>
  <c r="D15" i="1"/>
  <c r="AT15" i="2" s="1"/>
  <c r="E15" i="1"/>
  <c r="AU15" i="2" s="1"/>
  <c r="F15" i="1"/>
  <c r="AV15" i="2" s="1"/>
  <c r="G15" i="1"/>
  <c r="AW15" i="2" s="1"/>
  <c r="H15" i="1"/>
  <c r="AX15" i="2" s="1"/>
  <c r="I15" i="1"/>
  <c r="AY15" i="2" s="1"/>
  <c r="J15" i="1"/>
  <c r="AZ15" i="2" s="1"/>
  <c r="K15" i="1"/>
  <c r="BA15" i="2" s="1"/>
  <c r="L15" i="1"/>
  <c r="BB15" i="2" s="1"/>
  <c r="M15" i="1"/>
  <c r="BC15" i="2" s="1"/>
  <c r="B16" i="1"/>
  <c r="AR16" i="2" s="1"/>
  <c r="C16" i="1"/>
  <c r="AS16" i="2" s="1"/>
  <c r="D16" i="1"/>
  <c r="AT16" i="2" s="1"/>
  <c r="E16" i="1"/>
  <c r="AU16" i="2" s="1"/>
  <c r="F16" i="1"/>
  <c r="AV16" i="2" s="1"/>
  <c r="G16" i="1"/>
  <c r="AW16" i="2" s="1"/>
  <c r="H16" i="1"/>
  <c r="AX16" i="2" s="1"/>
  <c r="I16" i="1"/>
  <c r="AY16" i="2" s="1"/>
  <c r="J16" i="1"/>
  <c r="AZ16" i="2" s="1"/>
  <c r="K16" i="1"/>
  <c r="BA16" i="2" s="1"/>
  <c r="L16" i="1"/>
  <c r="BB16" i="2" s="1"/>
  <c r="M16" i="1"/>
  <c r="BC16" i="2" s="1"/>
  <c r="B17" i="1"/>
  <c r="AR17" i="2" s="1"/>
  <c r="C17" i="1"/>
  <c r="AS17" i="2" s="1"/>
  <c r="D17" i="1"/>
  <c r="AT17" i="2" s="1"/>
  <c r="E17" i="1"/>
  <c r="AU17" i="2" s="1"/>
  <c r="F17" i="1"/>
  <c r="AV17" i="2" s="1"/>
  <c r="G17" i="1"/>
  <c r="AW17" i="2" s="1"/>
  <c r="H17" i="1"/>
  <c r="AX17" i="2" s="1"/>
  <c r="I17" i="1"/>
  <c r="AY17" i="2" s="1"/>
  <c r="J17" i="1"/>
  <c r="AZ17" i="2" s="1"/>
  <c r="K17" i="1"/>
  <c r="BA17" i="2" s="1"/>
  <c r="L17" i="1"/>
  <c r="BB17" i="2" s="1"/>
  <c r="M17" i="1"/>
  <c r="BC17" i="2" s="1"/>
  <c r="B18" i="1"/>
  <c r="AR18" i="2" s="1"/>
  <c r="C18" i="1"/>
  <c r="AS18" i="2" s="1"/>
  <c r="D18" i="1"/>
  <c r="AT18" i="2" s="1"/>
  <c r="E18" i="1"/>
  <c r="AU18" i="2" s="1"/>
  <c r="F18" i="1"/>
  <c r="AV18" i="2" s="1"/>
  <c r="G18" i="1"/>
  <c r="AW18" i="2" s="1"/>
  <c r="H18" i="1"/>
  <c r="AX18" i="2" s="1"/>
  <c r="I18" i="1"/>
  <c r="AY18" i="2" s="1"/>
  <c r="J18" i="1"/>
  <c r="AZ18" i="2" s="1"/>
  <c r="K18" i="1"/>
  <c r="BA18" i="2" s="1"/>
  <c r="L18" i="1"/>
  <c r="BB18" i="2" s="1"/>
  <c r="M18" i="1"/>
  <c r="BC18" i="2" s="1"/>
  <c r="B19" i="1"/>
  <c r="AR19" i="2" s="1"/>
  <c r="C19" i="1"/>
  <c r="AS19" i="2" s="1"/>
  <c r="D19" i="1"/>
  <c r="AT19" i="2" s="1"/>
  <c r="E19" i="1"/>
  <c r="AU19" i="2" s="1"/>
  <c r="F19" i="1"/>
  <c r="AV19" i="2" s="1"/>
  <c r="G19" i="1"/>
  <c r="AW19" i="2" s="1"/>
  <c r="H19" i="1"/>
  <c r="AX19" i="2" s="1"/>
  <c r="I19" i="1"/>
  <c r="AY19" i="2" s="1"/>
  <c r="J19" i="1"/>
  <c r="AZ19" i="2" s="1"/>
  <c r="K19" i="1"/>
  <c r="BA19" i="2" s="1"/>
  <c r="L19" i="1"/>
  <c r="BB19" i="2" s="1"/>
  <c r="M19" i="1"/>
  <c r="BC19" i="2" s="1"/>
  <c r="B20" i="1"/>
  <c r="AR20" i="2" s="1"/>
  <c r="C20" i="1"/>
  <c r="AS20" i="2" s="1"/>
  <c r="D20" i="1"/>
  <c r="AT20" i="2" s="1"/>
  <c r="E20" i="1"/>
  <c r="AU20" i="2" s="1"/>
  <c r="F20" i="1"/>
  <c r="AV20" i="2" s="1"/>
  <c r="G20" i="1"/>
  <c r="AW20" i="2" s="1"/>
  <c r="H20" i="1"/>
  <c r="AX20" i="2" s="1"/>
  <c r="I20" i="1"/>
  <c r="AY20" i="2" s="1"/>
  <c r="J20" i="1"/>
  <c r="AZ20" i="2" s="1"/>
  <c r="K20" i="1"/>
  <c r="BA20" i="2" s="1"/>
  <c r="L20" i="1"/>
  <c r="BB20" i="2" s="1"/>
  <c r="M20" i="1"/>
  <c r="BC20" i="2" s="1"/>
  <c r="B21" i="1"/>
  <c r="AR21" i="2" s="1"/>
  <c r="C21" i="1"/>
  <c r="AS21" i="2" s="1"/>
  <c r="D21" i="1"/>
  <c r="AT21" i="2" s="1"/>
  <c r="E21" i="1"/>
  <c r="AU21" i="2" s="1"/>
  <c r="F21" i="1"/>
  <c r="AV21" i="2" s="1"/>
  <c r="G21" i="1"/>
  <c r="AW21" i="2" s="1"/>
  <c r="H21" i="1"/>
  <c r="AX21" i="2" s="1"/>
  <c r="I21" i="1"/>
  <c r="AY21" i="2" s="1"/>
  <c r="J21" i="1"/>
  <c r="AZ21" i="2" s="1"/>
  <c r="K21" i="1"/>
  <c r="BA21" i="2" s="1"/>
  <c r="L21" i="1"/>
  <c r="BB21" i="2" s="1"/>
  <c r="M21" i="1"/>
  <c r="BC21" i="2" s="1"/>
  <c r="B22" i="1"/>
  <c r="AR22" i="2" s="1"/>
  <c r="C22" i="1"/>
  <c r="AS22" i="2" s="1"/>
  <c r="D22" i="1"/>
  <c r="AT22" i="2" s="1"/>
  <c r="E22" i="1"/>
  <c r="AU22" i="2" s="1"/>
  <c r="F22" i="1"/>
  <c r="AV22" i="2" s="1"/>
  <c r="G22" i="1"/>
  <c r="AW22" i="2" s="1"/>
  <c r="H22" i="1"/>
  <c r="AX22" i="2" s="1"/>
  <c r="I22" i="1"/>
  <c r="AY22" i="2" s="1"/>
  <c r="J22" i="1"/>
  <c r="AZ22" i="2" s="1"/>
  <c r="K22" i="1"/>
  <c r="BA22" i="2" s="1"/>
  <c r="L22" i="1"/>
  <c r="BB22" i="2" s="1"/>
  <c r="M22" i="1"/>
  <c r="BC22" i="2" s="1"/>
  <c r="B23" i="1"/>
  <c r="AR23" i="2" s="1"/>
  <c r="C23" i="1"/>
  <c r="AS23" i="2" s="1"/>
  <c r="D23" i="1"/>
  <c r="AT23" i="2" s="1"/>
  <c r="E23" i="1"/>
  <c r="AU23" i="2" s="1"/>
  <c r="F23" i="1"/>
  <c r="AV23" i="2" s="1"/>
  <c r="G23" i="1"/>
  <c r="AW23" i="2" s="1"/>
  <c r="H23" i="1"/>
  <c r="AX23" i="2" s="1"/>
  <c r="I23" i="1"/>
  <c r="AY23" i="2" s="1"/>
  <c r="J23" i="1"/>
  <c r="AZ23" i="2" s="1"/>
  <c r="K23" i="1"/>
  <c r="BA23" i="2" s="1"/>
  <c r="L23" i="1"/>
  <c r="BB23" i="2" s="1"/>
  <c r="M23" i="1"/>
  <c r="BC23" i="2" s="1"/>
  <c r="B24" i="1"/>
  <c r="AR24" i="2" s="1"/>
  <c r="C24" i="1"/>
  <c r="AS24" i="2" s="1"/>
  <c r="D24" i="1"/>
  <c r="AT24" i="2" s="1"/>
  <c r="E24" i="1"/>
  <c r="AU24" i="2" s="1"/>
  <c r="F24" i="1"/>
  <c r="AV24" i="2" s="1"/>
  <c r="G24" i="1"/>
  <c r="AW24" i="2" s="1"/>
  <c r="H24" i="1"/>
  <c r="AX24" i="2" s="1"/>
  <c r="I24" i="1"/>
  <c r="AY24" i="2" s="1"/>
  <c r="J24" i="1"/>
  <c r="AZ24" i="2" s="1"/>
  <c r="K24" i="1"/>
  <c r="BA24" i="2" s="1"/>
  <c r="L24" i="1"/>
  <c r="BB24" i="2" s="1"/>
  <c r="M24" i="1"/>
  <c r="BC24" i="2" s="1"/>
  <c r="B25" i="1"/>
  <c r="AR25" i="2" s="1"/>
  <c r="C25" i="1"/>
  <c r="AS25" i="2" s="1"/>
  <c r="D25" i="1"/>
  <c r="AT25" i="2" s="1"/>
  <c r="E25" i="1"/>
  <c r="AU25" i="2" s="1"/>
  <c r="F25" i="1"/>
  <c r="AV25" i="2" s="1"/>
  <c r="G25" i="1"/>
  <c r="AW25" i="2" s="1"/>
  <c r="H25" i="1"/>
  <c r="AX25" i="2" s="1"/>
  <c r="I25" i="1"/>
  <c r="AY25" i="2" s="1"/>
  <c r="J25" i="1"/>
  <c r="AZ25" i="2" s="1"/>
  <c r="K25" i="1"/>
  <c r="BA25" i="2" s="1"/>
  <c r="L25" i="1"/>
  <c r="BB25" i="2" s="1"/>
  <c r="M25" i="1"/>
  <c r="BC25" i="2" s="1"/>
  <c r="B26" i="1"/>
  <c r="AR26" i="2" s="1"/>
  <c r="C26" i="1"/>
  <c r="AS26" i="2" s="1"/>
  <c r="D26" i="1"/>
  <c r="AT26" i="2" s="1"/>
  <c r="E26" i="1"/>
  <c r="AU26" i="2" s="1"/>
  <c r="F26" i="1"/>
  <c r="AV26" i="2" s="1"/>
  <c r="G26" i="1"/>
  <c r="AW26" i="2" s="1"/>
  <c r="H26" i="1"/>
  <c r="AX26" i="2" s="1"/>
  <c r="I26" i="1"/>
  <c r="AY26" i="2" s="1"/>
  <c r="J26" i="1"/>
  <c r="AZ26" i="2" s="1"/>
  <c r="K26" i="1"/>
  <c r="BA26" i="2" s="1"/>
  <c r="L26" i="1"/>
  <c r="BB26" i="2" s="1"/>
  <c r="M26" i="1"/>
  <c r="BC26" i="2" s="1"/>
  <c r="B27" i="1"/>
  <c r="AR27" i="2" s="1"/>
  <c r="C27" i="1"/>
  <c r="AS27" i="2" s="1"/>
  <c r="D27" i="1"/>
  <c r="AT27" i="2" s="1"/>
  <c r="E27" i="1"/>
  <c r="AU27" i="2" s="1"/>
  <c r="F27" i="1"/>
  <c r="AV27" i="2" s="1"/>
  <c r="G27" i="1"/>
  <c r="AW27" i="2" s="1"/>
  <c r="H27" i="1"/>
  <c r="AX27" i="2" s="1"/>
  <c r="I27" i="1"/>
  <c r="AY27" i="2" s="1"/>
  <c r="J27" i="1"/>
  <c r="AZ27" i="2" s="1"/>
  <c r="K27" i="1"/>
  <c r="BA27" i="2" s="1"/>
  <c r="L27" i="1"/>
  <c r="BB27" i="2" s="1"/>
  <c r="M27" i="1"/>
  <c r="BC27" i="2" s="1"/>
  <c r="B28" i="1"/>
  <c r="AR28" i="2" s="1"/>
  <c r="C28" i="1"/>
  <c r="AS28" i="2" s="1"/>
  <c r="D28" i="1"/>
  <c r="AT28" i="2" s="1"/>
  <c r="E28" i="1"/>
  <c r="AU28" i="2" s="1"/>
  <c r="F28" i="1"/>
  <c r="AV28" i="2" s="1"/>
  <c r="G28" i="1"/>
  <c r="AW28" i="2" s="1"/>
  <c r="H28" i="1"/>
  <c r="AX28" i="2" s="1"/>
  <c r="I28" i="1"/>
  <c r="AY28" i="2" s="1"/>
  <c r="J28" i="1"/>
  <c r="AZ28" i="2" s="1"/>
  <c r="K28" i="1"/>
  <c r="BA28" i="2" s="1"/>
  <c r="L28" i="1"/>
  <c r="BB28" i="2" s="1"/>
  <c r="M28" i="1"/>
  <c r="BC28" i="2" s="1"/>
  <c r="B29" i="1"/>
  <c r="AR29" i="2" s="1"/>
  <c r="C29" i="1"/>
  <c r="AS29" i="2" s="1"/>
  <c r="D29" i="1"/>
  <c r="AT29" i="2" s="1"/>
  <c r="E29" i="1"/>
  <c r="AU29" i="2" s="1"/>
  <c r="F29" i="1"/>
  <c r="AV29" i="2" s="1"/>
  <c r="G29" i="1"/>
  <c r="AW29" i="2" s="1"/>
  <c r="H29" i="1"/>
  <c r="AX29" i="2" s="1"/>
  <c r="I29" i="1"/>
  <c r="AY29" i="2" s="1"/>
  <c r="J29" i="1"/>
  <c r="AZ29" i="2" s="1"/>
  <c r="K29" i="1"/>
  <c r="BA29" i="2" s="1"/>
  <c r="L29" i="1"/>
  <c r="BB29" i="2" s="1"/>
  <c r="M29" i="1"/>
  <c r="BC29" i="2" s="1"/>
  <c r="B30" i="1"/>
  <c r="AR30" i="2" s="1"/>
  <c r="C30" i="1"/>
  <c r="AS30" i="2" s="1"/>
  <c r="D30" i="1"/>
  <c r="AT30" i="2" s="1"/>
  <c r="E30" i="1"/>
  <c r="AU30" i="2" s="1"/>
  <c r="F30" i="1"/>
  <c r="AV30" i="2" s="1"/>
  <c r="G30" i="1"/>
  <c r="AW30" i="2" s="1"/>
  <c r="H30" i="1"/>
  <c r="AX30" i="2" s="1"/>
  <c r="I30" i="1"/>
  <c r="AY30" i="2" s="1"/>
  <c r="J30" i="1"/>
  <c r="AZ30" i="2" s="1"/>
  <c r="K30" i="1"/>
  <c r="BA30" i="2" s="1"/>
  <c r="L30" i="1"/>
  <c r="BB30" i="2" s="1"/>
  <c r="M30" i="1"/>
  <c r="BC30" i="2" s="1"/>
  <c r="B4" i="1"/>
  <c r="AR4" i="2" l="1"/>
  <c r="C18" i="3" s="1"/>
  <c r="AQ35" i="2"/>
  <c r="AQ34" i="2"/>
  <c r="C4" i="1"/>
  <c r="AS4" i="2" s="1"/>
  <c r="D4" i="1"/>
  <c r="AT4" i="2" s="1"/>
  <c r="E4" i="1"/>
  <c r="AU4" i="2" s="1"/>
  <c r="F4" i="1"/>
  <c r="AV4" i="2" s="1"/>
  <c r="G4" i="1"/>
  <c r="AW4" i="2" s="1"/>
  <c r="H4" i="1"/>
  <c r="AX4" i="2" s="1"/>
  <c r="I4" i="1"/>
  <c r="AY4" i="2" s="1"/>
  <c r="J4" i="1"/>
  <c r="AZ4" i="2" s="1"/>
  <c r="K4" i="1"/>
  <c r="BA4" i="2" s="1"/>
  <c r="L4" i="1"/>
  <c r="BB4" i="2" s="1"/>
  <c r="M4" i="1"/>
  <c r="BC4" i="2" s="1"/>
  <c r="I8" i="3"/>
  <c r="L9" i="3"/>
  <c r="S33" i="3"/>
  <c r="S7" i="3"/>
  <c r="P36" i="3"/>
  <c r="P8" i="3"/>
  <c r="L33" i="3"/>
  <c r="N3" i="3"/>
  <c r="I33" i="3"/>
  <c r="F33" i="3"/>
  <c r="F6" i="3"/>
  <c r="C17" i="3"/>
  <c r="L8" i="3"/>
  <c r="S32" i="3"/>
  <c r="S6" i="3"/>
  <c r="P35" i="3"/>
  <c r="P7" i="3"/>
  <c r="N2" i="3"/>
  <c r="L32" i="3"/>
  <c r="I32" i="3"/>
  <c r="I7" i="3"/>
  <c r="F32" i="3"/>
  <c r="F5" i="3"/>
  <c r="C16" i="3"/>
  <c r="N4" i="3" l="1"/>
  <c r="L10" i="3"/>
  <c r="I9" i="3"/>
  <c r="L34" i="3"/>
  <c r="S8" i="3"/>
  <c r="S34" i="3"/>
  <c r="P37" i="3"/>
  <c r="I34" i="3"/>
  <c r="F34" i="3"/>
  <c r="P9" i="3"/>
  <c r="BD4" i="2" l="1"/>
  <c r="F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Gustavo Kildegaard</author>
  </authors>
  <commentList>
    <comment ref="AE4" authorId="0" shapeId="0" xr:uid="{45F7FE3A-74DA-459E-AA32-411CC83C8605}">
      <text>
        <r>
          <rPr>
            <b/>
            <sz val="9"/>
            <color indexed="81"/>
            <rFont val="Tahoma"/>
            <charset val="1"/>
          </rPr>
          <t>Gustavo Kildegaard:</t>
        </r>
        <r>
          <rPr>
            <sz val="9"/>
            <color indexed="81"/>
            <rFont val="Tahoma"/>
            <charset val="1"/>
          </rPr>
          <t xml:space="preserve">
valor reconciliado menos medido al cuadrado, dividido el cuadrado del error</t>
        </r>
      </text>
    </comment>
  </commentList>
</comments>
</file>

<file path=xl/sharedStrings.xml><?xml version="1.0" encoding="utf-8"?>
<sst xmlns="http://schemas.openxmlformats.org/spreadsheetml/2006/main" count="165" uniqueCount="47">
  <si>
    <t>FC701</t>
  </si>
  <si>
    <t>FI705</t>
  </si>
  <si>
    <t>FC706</t>
  </si>
  <si>
    <t>FI709</t>
  </si>
  <si>
    <t>FC710</t>
  </si>
  <si>
    <t>FI712</t>
  </si>
  <si>
    <t>FC716</t>
  </si>
  <si>
    <t>FI718</t>
  </si>
  <si>
    <t>FC719</t>
  </si>
  <si>
    <t>FT778</t>
  </si>
  <si>
    <t>FI725</t>
  </si>
  <si>
    <t>FI184</t>
  </si>
  <si>
    <t>balabce 1</t>
  </si>
  <si>
    <t>701-705-706</t>
  </si>
  <si>
    <t>balance 2</t>
  </si>
  <si>
    <t>706-710-709</t>
  </si>
  <si>
    <t>balance 4</t>
  </si>
  <si>
    <t>balance 5</t>
  </si>
  <si>
    <t>716-718-719</t>
  </si>
  <si>
    <t>719-725-778</t>
  </si>
  <si>
    <t>Caudla másico medido</t>
  </si>
  <si>
    <t>caudal másico reconciliado</t>
  </si>
  <si>
    <t>balances de masa</t>
  </si>
  <si>
    <t>Error</t>
  </si>
  <si>
    <t>suma error</t>
  </si>
  <si>
    <t>Medido:</t>
  </si>
  <si>
    <t>Reconciliado:</t>
  </si>
  <si>
    <t>Desv:</t>
  </si>
  <si>
    <t>De sección 100</t>
  </si>
  <si>
    <t>raiz Error</t>
  </si>
  <si>
    <t>Error del instrumento</t>
  </si>
  <si>
    <t>M3/HR</t>
  </si>
  <si>
    <t>KG/H</t>
  </si>
  <si>
    <t>Fecha</t>
  </si>
  <si>
    <t>suma error sigmas</t>
  </si>
  <si>
    <t>balance 3</t>
  </si>
  <si>
    <t>710+184-712-716</t>
  </si>
  <si>
    <t xml:space="preserve">f=ρ_a15/ρ_15 .√(ρ_Top/ρ_aTop ) </t>
  </si>
  <si>
    <t>Ca</t>
  </si>
  <si>
    <t>t</t>
  </si>
  <si>
    <t>Ca final</t>
  </si>
  <si>
    <t>k</t>
  </si>
  <si>
    <t>n</t>
  </si>
  <si>
    <t>Los del profe</t>
  </si>
  <si>
    <t>estas 3 las medi yo</t>
  </si>
  <si>
    <t>Ca final ESTIMADO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</si>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</sst>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rgb="FF000000"/>
      <name val="Arial"/>
      <family val="2"/>
    </font>
    <font>
      <b/>
      <sz val="14"/>
      <color rgb="FF000000"/>
      <name val="Calibri"/>
      <family val="2"/>
    </font>
    <font>
      <sz val="14"/>
      <color rgb="FF000000"/>
      <name val="Arial"/>
      <family val="2"/>
    </font>
    <font>
      <sz val="14"/>
      <color rgb="FF000000"/>
      <name val="Calibr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6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3">
    <xf numFmtId="0" fontId="0" fillId="0" borderId="0" xfId="0"/>
    <xf numFmtId="22" fontId="1" fillId="0" borderId="1" xfId="0" applyNumberFormat="1" applyFont="1" applyBorder="1"/>
    <xf numFmtId="22" fontId="1" fillId="2" borderId="1" xfId="0" applyNumberFormat="1" applyFont="1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quotePrefix="1" applyFill="1"/>
    <xf numFmtId="0" fontId="0" fillId="6" borderId="0" xfId="0" applyFill="1"/>
    <xf numFmtId="0" fontId="0" fillId="7" borderId="0" xfId="0" applyFill="1"/>
    <xf numFmtId="0" fontId="3" fillId="8" borderId="4" xfId="0" applyFont="1" applyFill="1" applyBorder="1"/>
    <xf numFmtId="0" fontId="0" fillId="8" borderId="5" xfId="0" applyFill="1" applyBorder="1"/>
    <xf numFmtId="0" fontId="3" fillId="8" borderId="6" xfId="0" applyFont="1" applyFill="1" applyBorder="1"/>
    <xf numFmtId="2" fontId="0" fillId="8" borderId="7" xfId="0" applyNumberFormat="1" applyFill="1" applyBorder="1"/>
    <xf numFmtId="0" fontId="2" fillId="0" borderId="0" xfId="1" applyAlignment="1" applyProtection="1"/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4" fillId="3" borderId="0" xfId="0" applyFont="1" applyFill="1"/>
    <xf numFmtId="0" fontId="5" fillId="0" borderId="8" xfId="0" applyFont="1" applyBorder="1" applyAlignment="1">
      <alignment horizontal="center" vertical="center" wrapText="1" readingOrder="1"/>
    </xf>
    <xf numFmtId="0" fontId="6" fillId="0" borderId="8" xfId="0" applyFont="1" applyBorder="1" applyAlignment="1">
      <alignment horizontal="center" vertical="center" wrapText="1" readingOrder="1"/>
    </xf>
    <xf numFmtId="0" fontId="7" fillId="0" borderId="8" xfId="0" applyFont="1" applyBorder="1" applyAlignment="1">
      <alignment horizontal="center" vertical="center" wrapText="1" readingOrder="1"/>
    </xf>
    <xf numFmtId="3" fontId="7" fillId="0" borderId="8" xfId="0" applyNumberFormat="1" applyFont="1" applyBorder="1" applyAlignment="1">
      <alignment horizontal="center" vertical="center" wrapText="1" readingOrder="1"/>
    </xf>
    <xf numFmtId="0" fontId="8" fillId="0" borderId="8" xfId="0" applyFont="1" applyBorder="1" applyAlignment="1">
      <alignment horizontal="center" vertical="center" wrapText="1" readingOrder="1"/>
    </xf>
    <xf numFmtId="0" fontId="0" fillId="3" borderId="0" xfId="0" applyFill="1" applyAlignment="1">
      <alignment horizontal="center" vertical="top"/>
    </xf>
    <xf numFmtId="0" fontId="0" fillId="0" borderId="0" xfId="0" applyAlignment="1">
      <alignment horizontal="center" vertical="top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3" fillId="8" borderId="2" xfId="0" applyFont="1" applyFill="1" applyBorder="1" applyAlignment="1">
      <alignment horizontal="center"/>
    </xf>
    <xf numFmtId="0" fontId="3" fillId="8" borderId="3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681519</xdr:colOff>
      <xdr:row>11</xdr:row>
      <xdr:rowOff>68785</xdr:rowOff>
    </xdr:from>
    <xdr:to>
      <xdr:col>11</xdr:col>
      <xdr:colOff>672600</xdr:colOff>
      <xdr:row>24</xdr:row>
      <xdr:rowOff>70655</xdr:rowOff>
    </xdr:to>
    <xdr:sp macro="" textlink="">
      <xdr:nvSpPr>
        <xdr:cNvPr id="187" name="AutoShape 1776">
          <a:extLst>
            <a:ext uri="{FF2B5EF4-FFF2-40B4-BE49-F238E27FC236}">
              <a16:creationId xmlns:a16="http://schemas.microsoft.com/office/drawing/2014/main" id="{8AAAD532-F97E-4DB2-8EB9-E54E5A55AF37}"/>
            </a:ext>
          </a:extLst>
        </xdr:cNvPr>
        <xdr:cNvSpPr>
          <a:spLocks noChangeArrowheads="1"/>
        </xdr:cNvSpPr>
      </xdr:nvSpPr>
      <xdr:spPr bwMode="auto">
        <a:xfrm>
          <a:off x="6777519" y="2164285"/>
          <a:ext cx="753081" cy="2478370"/>
        </a:xfrm>
        <a:prstGeom prst="roundRect">
          <a:avLst>
            <a:gd name="adj" fmla="val 50000"/>
          </a:avLst>
        </a:prstGeom>
        <a:noFill/>
        <a:ln w="9525">
          <a:solidFill>
            <a:srgbClr val="3366FF"/>
          </a:solidFill>
          <a:round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s-AR" sz="7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AR" sz="7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528211</xdr:colOff>
      <xdr:row>11</xdr:row>
      <xdr:rowOff>68786</xdr:rowOff>
    </xdr:from>
    <xdr:to>
      <xdr:col>5</xdr:col>
      <xdr:colOff>508657</xdr:colOff>
      <xdr:row>24</xdr:row>
      <xdr:rowOff>3309</xdr:rowOff>
    </xdr:to>
    <xdr:sp macro="" textlink="">
      <xdr:nvSpPr>
        <xdr:cNvPr id="188" name="AutoShape 1781">
          <a:extLst>
            <a:ext uri="{FF2B5EF4-FFF2-40B4-BE49-F238E27FC236}">
              <a16:creationId xmlns:a16="http://schemas.microsoft.com/office/drawing/2014/main" id="{AED18253-CDC2-4B4C-996B-18773FC481B2}"/>
            </a:ext>
          </a:extLst>
        </xdr:cNvPr>
        <xdr:cNvSpPr>
          <a:spLocks noChangeArrowheads="1"/>
        </xdr:cNvSpPr>
      </xdr:nvSpPr>
      <xdr:spPr bwMode="auto">
        <a:xfrm>
          <a:off x="2052211" y="2164286"/>
          <a:ext cx="742446" cy="2411023"/>
        </a:xfrm>
        <a:prstGeom prst="roundRect">
          <a:avLst>
            <a:gd name="adj" fmla="val 50000"/>
          </a:avLst>
        </a:prstGeom>
        <a:noFill/>
        <a:ln w="9525">
          <a:solidFill>
            <a:srgbClr val="3366FF"/>
          </a:solidFill>
          <a:round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s-AR" sz="7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AR" sz="7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0</xdr:colOff>
      <xdr:row>10</xdr:row>
      <xdr:rowOff>58929</xdr:rowOff>
    </xdr:from>
    <xdr:to>
      <xdr:col>6</xdr:col>
      <xdr:colOff>48696</xdr:colOff>
      <xdr:row>26</xdr:row>
      <xdr:rowOff>137514</xdr:rowOff>
    </xdr:to>
    <xdr:sp macro="" textlink="">
      <xdr:nvSpPr>
        <xdr:cNvPr id="189" name="Rectangle 1785">
          <a:extLst>
            <a:ext uri="{FF2B5EF4-FFF2-40B4-BE49-F238E27FC236}">
              <a16:creationId xmlns:a16="http://schemas.microsoft.com/office/drawing/2014/main" id="{A67D8DF7-C5D7-48FA-B86C-4DEE9941766D}"/>
            </a:ext>
          </a:extLst>
        </xdr:cNvPr>
        <xdr:cNvSpPr>
          <a:spLocks noChangeArrowheads="1"/>
        </xdr:cNvSpPr>
      </xdr:nvSpPr>
      <xdr:spPr bwMode="auto">
        <a:xfrm>
          <a:off x="1524000" y="1963929"/>
          <a:ext cx="1572696" cy="3126585"/>
        </a:xfrm>
        <a:prstGeom prst="rect">
          <a:avLst/>
        </a:prstGeom>
        <a:noFill/>
        <a:ln w="9525">
          <a:solidFill>
            <a:srgbClr val="000000"/>
          </a:solidFill>
          <a:prstDash val="dash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</xdr:col>
      <xdr:colOff>471561</xdr:colOff>
      <xdr:row>11</xdr:row>
      <xdr:rowOff>68785</xdr:rowOff>
    </xdr:from>
    <xdr:to>
      <xdr:col>8</xdr:col>
      <xdr:colOff>461451</xdr:colOff>
      <xdr:row>24</xdr:row>
      <xdr:rowOff>70655</xdr:rowOff>
    </xdr:to>
    <xdr:sp macro="" textlink="">
      <xdr:nvSpPr>
        <xdr:cNvPr id="190" name="AutoShape 1797">
          <a:extLst>
            <a:ext uri="{FF2B5EF4-FFF2-40B4-BE49-F238E27FC236}">
              <a16:creationId xmlns:a16="http://schemas.microsoft.com/office/drawing/2014/main" id="{9F48BE65-A693-4A92-AAA3-8BBF85371223}"/>
            </a:ext>
          </a:extLst>
        </xdr:cNvPr>
        <xdr:cNvSpPr>
          <a:spLocks noChangeArrowheads="1"/>
        </xdr:cNvSpPr>
      </xdr:nvSpPr>
      <xdr:spPr bwMode="auto">
        <a:xfrm>
          <a:off x="4281561" y="2164285"/>
          <a:ext cx="751890" cy="2478370"/>
        </a:xfrm>
        <a:prstGeom prst="roundRect">
          <a:avLst>
            <a:gd name="adj" fmla="val 50000"/>
          </a:avLst>
        </a:prstGeom>
        <a:noFill/>
        <a:ln w="9525">
          <a:solidFill>
            <a:srgbClr val="3366FF"/>
          </a:solidFill>
          <a:round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s-AR" sz="7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AR" sz="7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7</xdr:col>
      <xdr:colOff>132728</xdr:colOff>
      <xdr:row>10</xdr:row>
      <xdr:rowOff>0</xdr:rowOff>
    </xdr:from>
    <xdr:to>
      <xdr:col>9</xdr:col>
      <xdr:colOff>181424</xdr:colOff>
      <xdr:row>26</xdr:row>
      <xdr:rowOff>78585</xdr:rowOff>
    </xdr:to>
    <xdr:sp macro="" textlink="">
      <xdr:nvSpPr>
        <xdr:cNvPr id="191" name="Rectangle 1803">
          <a:extLst>
            <a:ext uri="{FF2B5EF4-FFF2-40B4-BE49-F238E27FC236}">
              <a16:creationId xmlns:a16="http://schemas.microsoft.com/office/drawing/2014/main" id="{89E64A79-8180-43AA-B1E8-34522847BBB4}"/>
            </a:ext>
          </a:extLst>
        </xdr:cNvPr>
        <xdr:cNvSpPr>
          <a:spLocks noChangeArrowheads="1"/>
        </xdr:cNvSpPr>
      </xdr:nvSpPr>
      <xdr:spPr bwMode="auto">
        <a:xfrm>
          <a:off x="3942728" y="1905000"/>
          <a:ext cx="1572696" cy="3126585"/>
        </a:xfrm>
        <a:prstGeom prst="rect">
          <a:avLst/>
        </a:prstGeom>
        <a:noFill/>
        <a:ln w="9525">
          <a:solidFill>
            <a:srgbClr val="000000"/>
          </a:solidFill>
          <a:prstDash val="dash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688458</xdr:colOff>
      <xdr:row>10</xdr:row>
      <xdr:rowOff>44972</xdr:rowOff>
    </xdr:from>
    <xdr:to>
      <xdr:col>13</xdr:col>
      <xdr:colOff>678272</xdr:colOff>
      <xdr:row>23</xdr:row>
      <xdr:rowOff>46842</xdr:rowOff>
    </xdr:to>
    <xdr:sp macro="" textlink="">
      <xdr:nvSpPr>
        <xdr:cNvPr id="192" name="AutoShape 1816">
          <a:extLst>
            <a:ext uri="{FF2B5EF4-FFF2-40B4-BE49-F238E27FC236}">
              <a16:creationId xmlns:a16="http://schemas.microsoft.com/office/drawing/2014/main" id="{9022F456-BC78-40C7-BB60-43841D5F6607}"/>
            </a:ext>
          </a:extLst>
        </xdr:cNvPr>
        <xdr:cNvSpPr>
          <a:spLocks noChangeArrowheads="1"/>
        </xdr:cNvSpPr>
      </xdr:nvSpPr>
      <xdr:spPr bwMode="auto">
        <a:xfrm>
          <a:off x="9832458" y="1949972"/>
          <a:ext cx="751814" cy="2478370"/>
        </a:xfrm>
        <a:prstGeom prst="roundRect">
          <a:avLst>
            <a:gd name="adj" fmla="val 50000"/>
          </a:avLst>
        </a:prstGeom>
        <a:noFill/>
        <a:ln w="9525">
          <a:solidFill>
            <a:srgbClr val="3366FF"/>
          </a:solidFill>
          <a:round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s-AR" sz="7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AR" sz="7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10</xdr:col>
      <xdr:colOff>328126</xdr:colOff>
      <xdr:row>10</xdr:row>
      <xdr:rowOff>0</xdr:rowOff>
    </xdr:from>
    <xdr:to>
      <xdr:col>14</xdr:col>
      <xdr:colOff>55472</xdr:colOff>
      <xdr:row>28</xdr:row>
      <xdr:rowOff>34321</xdr:rowOff>
    </xdr:to>
    <xdr:sp macro="" textlink="">
      <xdr:nvSpPr>
        <xdr:cNvPr id="193" name="Rectangle 1826">
          <a:extLst>
            <a:ext uri="{FF2B5EF4-FFF2-40B4-BE49-F238E27FC236}">
              <a16:creationId xmlns:a16="http://schemas.microsoft.com/office/drawing/2014/main" id="{6F6D017D-F110-4A7E-8ECE-ACA7352B8314}"/>
            </a:ext>
          </a:extLst>
        </xdr:cNvPr>
        <xdr:cNvSpPr>
          <a:spLocks noChangeArrowheads="1"/>
        </xdr:cNvSpPr>
      </xdr:nvSpPr>
      <xdr:spPr bwMode="auto">
        <a:xfrm>
          <a:off x="6424126" y="1905000"/>
          <a:ext cx="2775346" cy="3463321"/>
        </a:xfrm>
        <a:prstGeom prst="rect">
          <a:avLst/>
        </a:prstGeom>
        <a:noFill/>
        <a:ln w="9525">
          <a:solidFill>
            <a:srgbClr val="000000"/>
          </a:solidFill>
          <a:prstDash val="dash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AR"/>
        </a:p>
      </xdr:txBody>
    </xdr:sp>
    <xdr:clientData/>
  </xdr:twoCellAnchor>
  <xdr:twoCellAnchor>
    <xdr:from>
      <xdr:col>15</xdr:col>
      <xdr:colOff>22926</xdr:colOff>
      <xdr:row>11</xdr:row>
      <xdr:rowOff>68786</xdr:rowOff>
    </xdr:from>
    <xdr:to>
      <xdr:col>16</xdr:col>
      <xdr:colOff>12785</xdr:colOff>
      <xdr:row>24</xdr:row>
      <xdr:rowOff>3309</xdr:rowOff>
    </xdr:to>
    <xdr:sp macro="" textlink="">
      <xdr:nvSpPr>
        <xdr:cNvPr id="194" name="AutoShape 1830">
          <a:extLst>
            <a:ext uri="{FF2B5EF4-FFF2-40B4-BE49-F238E27FC236}">
              <a16:creationId xmlns:a16="http://schemas.microsoft.com/office/drawing/2014/main" id="{2D3D6430-568A-4316-B497-4BC21E935999}"/>
            </a:ext>
          </a:extLst>
        </xdr:cNvPr>
        <xdr:cNvSpPr>
          <a:spLocks noChangeArrowheads="1"/>
        </xdr:cNvSpPr>
      </xdr:nvSpPr>
      <xdr:spPr bwMode="auto">
        <a:xfrm>
          <a:off x="9928926" y="2164286"/>
          <a:ext cx="751859" cy="2411023"/>
        </a:xfrm>
        <a:prstGeom prst="roundRect">
          <a:avLst>
            <a:gd name="adj" fmla="val 50000"/>
          </a:avLst>
        </a:prstGeom>
        <a:noFill/>
        <a:ln w="9525">
          <a:solidFill>
            <a:srgbClr val="3366FF"/>
          </a:solidFill>
          <a:round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s-AR" sz="7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AR" sz="7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14</xdr:col>
      <xdr:colOff>528475</xdr:colOff>
      <xdr:row>10</xdr:row>
      <xdr:rowOff>0</xdr:rowOff>
    </xdr:from>
    <xdr:to>
      <xdr:col>16</xdr:col>
      <xdr:colOff>278747</xdr:colOff>
      <xdr:row>26</xdr:row>
      <xdr:rowOff>78585</xdr:rowOff>
    </xdr:to>
    <xdr:sp macro="" textlink="">
      <xdr:nvSpPr>
        <xdr:cNvPr id="195" name="Rectangle 1839">
          <a:extLst>
            <a:ext uri="{FF2B5EF4-FFF2-40B4-BE49-F238E27FC236}">
              <a16:creationId xmlns:a16="http://schemas.microsoft.com/office/drawing/2014/main" id="{88AD1E2E-9C0E-4706-915C-2AD1086C2C3E}"/>
            </a:ext>
          </a:extLst>
        </xdr:cNvPr>
        <xdr:cNvSpPr>
          <a:spLocks noChangeArrowheads="1"/>
        </xdr:cNvSpPr>
      </xdr:nvSpPr>
      <xdr:spPr bwMode="auto">
        <a:xfrm>
          <a:off x="9672475" y="1905000"/>
          <a:ext cx="1274272" cy="3126585"/>
        </a:xfrm>
        <a:prstGeom prst="rect">
          <a:avLst/>
        </a:prstGeom>
        <a:noFill/>
        <a:ln w="9525">
          <a:solidFill>
            <a:srgbClr val="000000"/>
          </a:solidFill>
          <a:prstDash val="dash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17</xdr:col>
      <xdr:colOff>347544</xdr:colOff>
      <xdr:row>11</xdr:row>
      <xdr:rowOff>68785</xdr:rowOff>
    </xdr:from>
    <xdr:to>
      <xdr:col>18</xdr:col>
      <xdr:colOff>327723</xdr:colOff>
      <xdr:row>24</xdr:row>
      <xdr:rowOff>70655</xdr:rowOff>
    </xdr:to>
    <xdr:sp macro="" textlink="">
      <xdr:nvSpPr>
        <xdr:cNvPr id="196" name="AutoShape 1843">
          <a:extLst>
            <a:ext uri="{FF2B5EF4-FFF2-40B4-BE49-F238E27FC236}">
              <a16:creationId xmlns:a16="http://schemas.microsoft.com/office/drawing/2014/main" id="{C859E075-2B6B-4200-A1CC-D0F197292138}"/>
            </a:ext>
          </a:extLst>
        </xdr:cNvPr>
        <xdr:cNvSpPr>
          <a:spLocks noChangeArrowheads="1"/>
        </xdr:cNvSpPr>
      </xdr:nvSpPr>
      <xdr:spPr bwMode="auto">
        <a:xfrm>
          <a:off x="11777544" y="2164285"/>
          <a:ext cx="742179" cy="2478370"/>
        </a:xfrm>
        <a:prstGeom prst="roundRect">
          <a:avLst>
            <a:gd name="adj" fmla="val 50000"/>
          </a:avLst>
        </a:prstGeom>
        <a:noFill/>
        <a:ln w="9525">
          <a:solidFill>
            <a:srgbClr val="3366FF"/>
          </a:solidFill>
          <a:round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s-AR" sz="7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AR" sz="7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17</xdr:col>
      <xdr:colOff>4671</xdr:colOff>
      <xdr:row>10</xdr:row>
      <xdr:rowOff>0</xdr:rowOff>
    </xdr:from>
    <xdr:to>
      <xdr:col>18</xdr:col>
      <xdr:colOff>613931</xdr:colOff>
      <xdr:row>26</xdr:row>
      <xdr:rowOff>78585</xdr:rowOff>
    </xdr:to>
    <xdr:sp macro="" textlink="">
      <xdr:nvSpPr>
        <xdr:cNvPr id="197" name="Rectangle 1852">
          <a:extLst>
            <a:ext uri="{FF2B5EF4-FFF2-40B4-BE49-F238E27FC236}">
              <a16:creationId xmlns:a16="http://schemas.microsoft.com/office/drawing/2014/main" id="{2FF7B193-71EC-4408-98FD-2FA7100633C0}"/>
            </a:ext>
          </a:extLst>
        </xdr:cNvPr>
        <xdr:cNvSpPr>
          <a:spLocks noChangeArrowheads="1"/>
        </xdr:cNvSpPr>
      </xdr:nvSpPr>
      <xdr:spPr bwMode="auto">
        <a:xfrm>
          <a:off x="11434671" y="1905000"/>
          <a:ext cx="1371260" cy="3126585"/>
        </a:xfrm>
        <a:prstGeom prst="rect">
          <a:avLst/>
        </a:prstGeom>
        <a:noFill/>
        <a:ln w="9525">
          <a:solidFill>
            <a:srgbClr val="000000"/>
          </a:solidFill>
          <a:prstDash val="dash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114300</xdr:colOff>
      <xdr:row>16</xdr:row>
      <xdr:rowOff>187023</xdr:rowOff>
    </xdr:from>
    <xdr:to>
      <xdr:col>4</xdr:col>
      <xdr:colOff>529584</xdr:colOff>
      <xdr:row>16</xdr:row>
      <xdr:rowOff>188707</xdr:rowOff>
    </xdr:to>
    <xdr:cxnSp macro="">
      <xdr:nvCxnSpPr>
        <xdr:cNvPr id="208" name="AutoShape 1783">
          <a:extLst>
            <a:ext uri="{FF2B5EF4-FFF2-40B4-BE49-F238E27FC236}">
              <a16:creationId xmlns:a16="http://schemas.microsoft.com/office/drawing/2014/main" id="{7EB731E4-DFCF-4E29-A5AA-3681E5A20996}"/>
            </a:ext>
          </a:extLst>
        </xdr:cNvPr>
        <xdr:cNvCxnSpPr>
          <a:cxnSpLocks noChangeShapeType="1"/>
        </xdr:cNvCxnSpPr>
      </xdr:nvCxnSpPr>
      <xdr:spPr bwMode="auto">
        <a:xfrm>
          <a:off x="2400300" y="3235023"/>
          <a:ext cx="1177284" cy="1684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103785</xdr:colOff>
      <xdr:row>31</xdr:row>
      <xdr:rowOff>127791</xdr:rowOff>
    </xdr:from>
    <xdr:to>
      <xdr:col>6</xdr:col>
      <xdr:colOff>684220</xdr:colOff>
      <xdr:row>31</xdr:row>
      <xdr:rowOff>129475</xdr:rowOff>
    </xdr:to>
    <xdr:cxnSp macro="">
      <xdr:nvCxnSpPr>
        <xdr:cNvPr id="209" name="AutoShape 1793">
          <a:extLst>
            <a:ext uri="{FF2B5EF4-FFF2-40B4-BE49-F238E27FC236}">
              <a16:creationId xmlns:a16="http://schemas.microsoft.com/office/drawing/2014/main" id="{E0977A4D-885F-4AF9-8BE1-4F3D4DB07D5D}"/>
            </a:ext>
          </a:extLst>
        </xdr:cNvPr>
        <xdr:cNvCxnSpPr>
          <a:cxnSpLocks noChangeShapeType="1"/>
        </xdr:cNvCxnSpPr>
      </xdr:nvCxnSpPr>
      <xdr:spPr bwMode="auto">
        <a:xfrm>
          <a:off x="4675785" y="6033291"/>
          <a:ext cx="580435" cy="1684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684220</xdr:colOff>
      <xdr:row>13</xdr:row>
      <xdr:rowOff>152400</xdr:rowOff>
    </xdr:from>
    <xdr:to>
      <xdr:col>6</xdr:col>
      <xdr:colOff>684220</xdr:colOff>
      <xdr:row>31</xdr:row>
      <xdr:rowOff>127792</xdr:rowOff>
    </xdr:to>
    <xdr:cxnSp macro="">
      <xdr:nvCxnSpPr>
        <xdr:cNvPr id="210" name="AutoShape 1794">
          <a:extLst>
            <a:ext uri="{FF2B5EF4-FFF2-40B4-BE49-F238E27FC236}">
              <a16:creationId xmlns:a16="http://schemas.microsoft.com/office/drawing/2014/main" id="{22ACC1B7-F5E7-4B70-B574-A1C0AB0B1B9D}"/>
            </a:ext>
          </a:extLst>
        </xdr:cNvPr>
        <xdr:cNvCxnSpPr>
          <a:cxnSpLocks noChangeShapeType="1"/>
        </xdr:cNvCxnSpPr>
      </xdr:nvCxnSpPr>
      <xdr:spPr bwMode="auto">
        <a:xfrm>
          <a:off x="5256220" y="2628900"/>
          <a:ext cx="0" cy="3404392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6</xdr:col>
      <xdr:colOff>684220</xdr:colOff>
      <xdr:row>13</xdr:row>
      <xdr:rowOff>152400</xdr:rowOff>
    </xdr:from>
    <xdr:to>
      <xdr:col>7</xdr:col>
      <xdr:colOff>475797</xdr:colOff>
      <xdr:row>13</xdr:row>
      <xdr:rowOff>152400</xdr:rowOff>
    </xdr:to>
    <xdr:cxnSp macro="">
      <xdr:nvCxnSpPr>
        <xdr:cNvPr id="211" name="AutoShape 1795">
          <a:extLst>
            <a:ext uri="{FF2B5EF4-FFF2-40B4-BE49-F238E27FC236}">
              <a16:creationId xmlns:a16="http://schemas.microsoft.com/office/drawing/2014/main" id="{607A70D0-ED60-421B-B979-E6451F9CBF07}"/>
            </a:ext>
          </a:extLst>
        </xdr:cNvPr>
        <xdr:cNvCxnSpPr>
          <a:cxnSpLocks noChangeShapeType="1"/>
        </xdr:cNvCxnSpPr>
      </xdr:nvCxnSpPr>
      <xdr:spPr bwMode="auto">
        <a:xfrm>
          <a:off x="5256220" y="2628900"/>
          <a:ext cx="553577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518525</xdr:colOff>
      <xdr:row>20</xdr:row>
      <xdr:rowOff>5891</xdr:rowOff>
    </xdr:from>
    <xdr:to>
      <xdr:col>9</xdr:col>
      <xdr:colOff>520017</xdr:colOff>
      <xdr:row>31</xdr:row>
      <xdr:rowOff>127792</xdr:rowOff>
    </xdr:to>
    <xdr:cxnSp macro="">
      <xdr:nvCxnSpPr>
        <xdr:cNvPr id="212" name="AutoShape 1805">
          <a:extLst>
            <a:ext uri="{FF2B5EF4-FFF2-40B4-BE49-F238E27FC236}">
              <a16:creationId xmlns:a16="http://schemas.microsoft.com/office/drawing/2014/main" id="{FB404500-0D50-45B9-BDA2-4ACE692293F1}"/>
            </a:ext>
          </a:extLst>
        </xdr:cNvPr>
        <xdr:cNvCxnSpPr>
          <a:cxnSpLocks noChangeShapeType="1"/>
        </xdr:cNvCxnSpPr>
      </xdr:nvCxnSpPr>
      <xdr:spPr bwMode="auto">
        <a:xfrm flipV="1">
          <a:off x="7376525" y="3815891"/>
          <a:ext cx="1492" cy="2217401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520017</xdr:colOff>
      <xdr:row>20</xdr:row>
      <xdr:rowOff>4207</xdr:rowOff>
    </xdr:from>
    <xdr:to>
      <xdr:col>10</xdr:col>
      <xdr:colOff>714467</xdr:colOff>
      <xdr:row>20</xdr:row>
      <xdr:rowOff>5891</xdr:rowOff>
    </xdr:to>
    <xdr:cxnSp macro="">
      <xdr:nvCxnSpPr>
        <xdr:cNvPr id="213" name="AutoShape 1806">
          <a:extLst>
            <a:ext uri="{FF2B5EF4-FFF2-40B4-BE49-F238E27FC236}">
              <a16:creationId xmlns:a16="http://schemas.microsoft.com/office/drawing/2014/main" id="{90964D73-B054-478A-8AE8-DA74492AC1EB}"/>
            </a:ext>
          </a:extLst>
        </xdr:cNvPr>
        <xdr:cNvCxnSpPr>
          <a:cxnSpLocks noChangeShapeType="1"/>
        </xdr:cNvCxnSpPr>
      </xdr:nvCxnSpPr>
      <xdr:spPr bwMode="auto">
        <a:xfrm>
          <a:off x="7378017" y="3814207"/>
          <a:ext cx="956450" cy="1684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126097</xdr:colOff>
      <xdr:row>31</xdr:row>
      <xdr:rowOff>127792</xdr:rowOff>
    </xdr:from>
    <xdr:to>
      <xdr:col>9</xdr:col>
      <xdr:colOff>520017</xdr:colOff>
      <xdr:row>31</xdr:row>
      <xdr:rowOff>129476</xdr:rowOff>
    </xdr:to>
    <xdr:cxnSp macro="">
      <xdr:nvCxnSpPr>
        <xdr:cNvPr id="214" name="AutoShape 1809">
          <a:extLst>
            <a:ext uri="{FF2B5EF4-FFF2-40B4-BE49-F238E27FC236}">
              <a16:creationId xmlns:a16="http://schemas.microsoft.com/office/drawing/2014/main" id="{7CE6D9FD-025A-4C5E-81A6-BD34365975F5}"/>
            </a:ext>
          </a:extLst>
        </xdr:cNvPr>
        <xdr:cNvCxnSpPr>
          <a:cxnSpLocks noChangeShapeType="1"/>
        </xdr:cNvCxnSpPr>
      </xdr:nvCxnSpPr>
      <xdr:spPr bwMode="auto">
        <a:xfrm rot="10800000">
          <a:off x="6984097" y="6033292"/>
          <a:ext cx="393920" cy="1684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533400</xdr:colOff>
      <xdr:row>10</xdr:row>
      <xdr:rowOff>134355</xdr:rowOff>
    </xdr:from>
    <xdr:to>
      <xdr:col>5</xdr:col>
      <xdr:colOff>495553</xdr:colOff>
      <xdr:row>13</xdr:row>
      <xdr:rowOff>81427</xdr:rowOff>
    </xdr:to>
    <xdr:sp macro="" textlink="">
      <xdr:nvSpPr>
        <xdr:cNvPr id="221" name="Text Box 1786">
          <a:extLst>
            <a:ext uri="{FF2B5EF4-FFF2-40B4-BE49-F238E27FC236}">
              <a16:creationId xmlns:a16="http://schemas.microsoft.com/office/drawing/2014/main" id="{D4917947-6BEC-4C79-950C-7EEA97854180}"/>
            </a:ext>
          </a:extLst>
        </xdr:cNvPr>
        <xdr:cNvSpPr txBox="1">
          <a:spLocks noChangeArrowheads="1"/>
        </xdr:cNvSpPr>
      </xdr:nvSpPr>
      <xdr:spPr bwMode="auto">
        <a:xfrm>
          <a:off x="2819400" y="2039355"/>
          <a:ext cx="1486153" cy="5185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lnSpc>
              <a:spcPts val="800"/>
            </a:lnSpc>
            <a:defRPr sz="1000"/>
          </a:pPr>
          <a:r>
            <a:rPr lang="es-AR" sz="1600" b="0" i="0" u="none" strike="noStrike" baseline="0">
              <a:solidFill>
                <a:srgbClr val="FF0000"/>
              </a:solidFill>
              <a:latin typeface="Calibri"/>
            </a:rPr>
            <a:t>Nodo 1</a:t>
          </a:r>
        </a:p>
        <a:p>
          <a:pPr algn="l" rtl="0">
            <a:lnSpc>
              <a:spcPts val="800"/>
            </a:lnSpc>
            <a:defRPr sz="1000"/>
          </a:pPr>
          <a:endParaRPr lang="es-AR" sz="800" b="0" i="0" u="none" strike="noStrike" baseline="0">
            <a:solidFill>
              <a:srgbClr val="FF0000"/>
            </a:solidFill>
            <a:latin typeface="Calibri"/>
          </a:endParaRPr>
        </a:p>
      </xdr:txBody>
    </xdr:sp>
    <xdr:clientData/>
  </xdr:twoCellAnchor>
  <xdr:twoCellAnchor>
    <xdr:from>
      <xdr:col>6</xdr:col>
      <xdr:colOff>532796</xdr:colOff>
      <xdr:row>11</xdr:row>
      <xdr:rowOff>19050</xdr:rowOff>
    </xdr:from>
    <xdr:to>
      <xdr:col>8</xdr:col>
      <xdr:colOff>494949</xdr:colOff>
      <xdr:row>13</xdr:row>
      <xdr:rowOff>166724</xdr:rowOff>
    </xdr:to>
    <xdr:sp macro="" textlink="">
      <xdr:nvSpPr>
        <xdr:cNvPr id="222" name="Text Box 1792">
          <a:extLst>
            <a:ext uri="{FF2B5EF4-FFF2-40B4-BE49-F238E27FC236}">
              <a16:creationId xmlns:a16="http://schemas.microsoft.com/office/drawing/2014/main" id="{3CC33284-4CA0-477A-BD40-0066AE16531D}"/>
            </a:ext>
          </a:extLst>
        </xdr:cNvPr>
        <xdr:cNvSpPr txBox="1">
          <a:spLocks noChangeArrowheads="1"/>
        </xdr:cNvSpPr>
      </xdr:nvSpPr>
      <xdr:spPr bwMode="auto">
        <a:xfrm>
          <a:off x="5104796" y="2114550"/>
          <a:ext cx="1486153" cy="5286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lnSpc>
              <a:spcPts val="900"/>
            </a:lnSpc>
            <a:defRPr sz="1000"/>
          </a:pPr>
          <a:r>
            <a:rPr lang="es-AR" sz="1600" b="0" i="0" u="none" strike="noStrike" baseline="0">
              <a:solidFill>
                <a:srgbClr val="FF0000"/>
              </a:solidFill>
              <a:latin typeface="Calibri"/>
            </a:rPr>
            <a:t>Nodo 2</a:t>
          </a:r>
          <a:endParaRPr lang="es-AR" sz="1600" b="0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lnSpc>
              <a:spcPts val="700"/>
            </a:lnSpc>
            <a:defRPr sz="1000"/>
          </a:pPr>
          <a:endParaRPr lang="es-AR" sz="800" b="0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12</xdr:col>
      <xdr:colOff>180000</xdr:colOff>
      <xdr:row>9</xdr:row>
      <xdr:rowOff>34823</xdr:rowOff>
    </xdr:from>
    <xdr:to>
      <xdr:col>14</xdr:col>
      <xdr:colOff>151106</xdr:colOff>
      <xdr:row>11</xdr:row>
      <xdr:rowOff>172395</xdr:rowOff>
    </xdr:to>
    <xdr:sp macro="" textlink="">
      <xdr:nvSpPr>
        <xdr:cNvPr id="225" name="Text Box 1827">
          <a:extLst>
            <a:ext uri="{FF2B5EF4-FFF2-40B4-BE49-F238E27FC236}">
              <a16:creationId xmlns:a16="http://schemas.microsoft.com/office/drawing/2014/main" id="{08A09C80-62C6-4CB3-8062-E8625FE69602}"/>
            </a:ext>
          </a:extLst>
        </xdr:cNvPr>
        <xdr:cNvSpPr txBox="1">
          <a:spLocks noChangeArrowheads="1"/>
        </xdr:cNvSpPr>
      </xdr:nvSpPr>
      <xdr:spPr bwMode="auto">
        <a:xfrm>
          <a:off x="9324000" y="1749323"/>
          <a:ext cx="1495106" cy="5185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lnSpc>
              <a:spcPts val="800"/>
            </a:lnSpc>
            <a:defRPr sz="1000"/>
          </a:pPr>
          <a:r>
            <a:rPr lang="es-AR" sz="1600" b="0" i="0" u="none" strike="noStrike" baseline="0">
              <a:solidFill>
                <a:srgbClr val="FF0000"/>
              </a:solidFill>
              <a:latin typeface="Calibri"/>
            </a:rPr>
            <a:t>Nodo 3</a:t>
          </a:r>
          <a:endParaRPr lang="es-AR" sz="1600" b="0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lnSpc>
              <a:spcPts val="800"/>
            </a:lnSpc>
            <a:defRPr sz="1000"/>
          </a:pPr>
          <a:endParaRPr lang="es-AR" sz="800" b="0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14</xdr:col>
      <xdr:colOff>309562</xdr:colOff>
      <xdr:row>18</xdr:row>
      <xdr:rowOff>22542</xdr:rowOff>
    </xdr:from>
    <xdr:to>
      <xdr:col>15</xdr:col>
      <xdr:colOff>38758</xdr:colOff>
      <xdr:row>18</xdr:row>
      <xdr:rowOff>23812</xdr:rowOff>
    </xdr:to>
    <xdr:cxnSp macro="">
      <xdr:nvCxnSpPr>
        <xdr:cNvPr id="227" name="AutoShape 1838">
          <a:extLst>
            <a:ext uri="{FF2B5EF4-FFF2-40B4-BE49-F238E27FC236}">
              <a16:creationId xmlns:a16="http://schemas.microsoft.com/office/drawing/2014/main" id="{BC4E4B2F-CF06-452D-B1D7-3E1D8DCAA580}"/>
            </a:ext>
          </a:extLst>
        </xdr:cNvPr>
        <xdr:cNvCxnSpPr>
          <a:cxnSpLocks noChangeShapeType="1"/>
        </xdr:cNvCxnSpPr>
      </xdr:nvCxnSpPr>
      <xdr:spPr bwMode="auto">
        <a:xfrm flipV="1">
          <a:off x="10977562" y="3451542"/>
          <a:ext cx="491196" cy="127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15</xdr:col>
      <xdr:colOff>465807</xdr:colOff>
      <xdr:row>9</xdr:row>
      <xdr:rowOff>39634</xdr:rowOff>
    </xdr:from>
    <xdr:to>
      <xdr:col>17</xdr:col>
      <xdr:colOff>436913</xdr:colOff>
      <xdr:row>11</xdr:row>
      <xdr:rowOff>167104</xdr:rowOff>
    </xdr:to>
    <xdr:sp macro="" textlink="">
      <xdr:nvSpPr>
        <xdr:cNvPr id="228" name="Text Box 1840">
          <a:extLst>
            <a:ext uri="{FF2B5EF4-FFF2-40B4-BE49-F238E27FC236}">
              <a16:creationId xmlns:a16="http://schemas.microsoft.com/office/drawing/2014/main" id="{9E9D4DF3-5BEB-4C2B-9A19-410371BCE467}"/>
            </a:ext>
          </a:extLst>
        </xdr:cNvPr>
        <xdr:cNvSpPr txBox="1">
          <a:spLocks noChangeArrowheads="1"/>
        </xdr:cNvSpPr>
      </xdr:nvSpPr>
      <xdr:spPr bwMode="auto">
        <a:xfrm>
          <a:off x="11895807" y="1754134"/>
          <a:ext cx="1495106" cy="5084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lnSpc>
              <a:spcPts val="900"/>
            </a:lnSpc>
            <a:defRPr sz="1000"/>
          </a:pPr>
          <a:r>
            <a:rPr lang="es-AR" sz="1600" b="0" i="0" u="none" strike="noStrike" baseline="0">
              <a:solidFill>
                <a:srgbClr val="FF0000"/>
              </a:solidFill>
              <a:latin typeface="Calibri"/>
            </a:rPr>
            <a:t>Nodo 4</a:t>
          </a:r>
          <a:endParaRPr lang="es-AR" sz="1600" b="0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lnSpc>
              <a:spcPts val="700"/>
            </a:lnSpc>
            <a:defRPr sz="1000"/>
          </a:pPr>
          <a:endParaRPr lang="es-AR" sz="800" b="0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16</xdr:col>
      <xdr:colOff>0</xdr:colOff>
      <xdr:row>34</xdr:row>
      <xdr:rowOff>111944</xdr:rowOff>
    </xdr:from>
    <xdr:to>
      <xdr:col>16</xdr:col>
      <xdr:colOff>555444</xdr:colOff>
      <xdr:row>34</xdr:row>
      <xdr:rowOff>119062</xdr:rowOff>
    </xdr:to>
    <xdr:cxnSp macro="">
      <xdr:nvCxnSpPr>
        <xdr:cNvPr id="229" name="AutoShape 1849">
          <a:extLst>
            <a:ext uri="{FF2B5EF4-FFF2-40B4-BE49-F238E27FC236}">
              <a16:creationId xmlns:a16="http://schemas.microsoft.com/office/drawing/2014/main" id="{D0E17BFE-9503-4AF1-B7B1-8595FB2D6CB6}"/>
            </a:ext>
          </a:extLst>
        </xdr:cNvPr>
        <xdr:cNvCxnSpPr>
          <a:cxnSpLocks noChangeShapeType="1"/>
        </xdr:cNvCxnSpPr>
      </xdr:nvCxnSpPr>
      <xdr:spPr bwMode="auto">
        <a:xfrm flipV="1">
          <a:off x="12192000" y="6588944"/>
          <a:ext cx="555444" cy="7118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16</xdr:col>
      <xdr:colOff>571500</xdr:colOff>
      <xdr:row>18</xdr:row>
      <xdr:rowOff>23627</xdr:rowOff>
    </xdr:from>
    <xdr:to>
      <xdr:col>17</xdr:col>
      <xdr:colOff>376896</xdr:colOff>
      <xdr:row>18</xdr:row>
      <xdr:rowOff>35719</xdr:rowOff>
    </xdr:to>
    <xdr:cxnSp macro="">
      <xdr:nvCxnSpPr>
        <xdr:cNvPr id="230" name="AutoShape 1851">
          <a:extLst>
            <a:ext uri="{FF2B5EF4-FFF2-40B4-BE49-F238E27FC236}">
              <a16:creationId xmlns:a16="http://schemas.microsoft.com/office/drawing/2014/main" id="{13F33960-E91E-491E-AF98-44CB9C9BE388}"/>
            </a:ext>
          </a:extLst>
        </xdr:cNvPr>
        <xdr:cNvCxnSpPr>
          <a:cxnSpLocks noChangeShapeType="1"/>
        </xdr:cNvCxnSpPr>
      </xdr:nvCxnSpPr>
      <xdr:spPr bwMode="auto">
        <a:xfrm flipV="1">
          <a:off x="12763500" y="3452627"/>
          <a:ext cx="567396" cy="12092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18</xdr:col>
      <xdr:colOff>104745</xdr:colOff>
      <xdr:row>9</xdr:row>
      <xdr:rowOff>379</xdr:rowOff>
    </xdr:from>
    <xdr:to>
      <xdr:col>20</xdr:col>
      <xdr:colOff>75851</xdr:colOff>
      <xdr:row>11</xdr:row>
      <xdr:rowOff>137951</xdr:rowOff>
    </xdr:to>
    <xdr:sp macro="" textlink="">
      <xdr:nvSpPr>
        <xdr:cNvPr id="231" name="Text Box 1853">
          <a:extLst>
            <a:ext uri="{FF2B5EF4-FFF2-40B4-BE49-F238E27FC236}">
              <a16:creationId xmlns:a16="http://schemas.microsoft.com/office/drawing/2014/main" id="{E413CEF2-C40A-45DD-8128-F8F85D63273D}"/>
            </a:ext>
          </a:extLst>
        </xdr:cNvPr>
        <xdr:cNvSpPr txBox="1">
          <a:spLocks noChangeArrowheads="1"/>
        </xdr:cNvSpPr>
      </xdr:nvSpPr>
      <xdr:spPr bwMode="auto">
        <a:xfrm>
          <a:off x="13820745" y="1714879"/>
          <a:ext cx="1495106" cy="5185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lnSpc>
              <a:spcPts val="900"/>
            </a:lnSpc>
            <a:defRPr sz="1000"/>
          </a:pPr>
          <a:r>
            <a:rPr lang="es-AR" sz="1600" b="0" i="0" u="none" strike="noStrike" baseline="0">
              <a:solidFill>
                <a:srgbClr val="FF0000"/>
              </a:solidFill>
              <a:latin typeface="Calibri"/>
            </a:rPr>
            <a:t>Nodo 5</a:t>
          </a:r>
          <a:endParaRPr lang="es-AR" sz="1600" b="0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lnSpc>
              <a:spcPts val="700"/>
            </a:lnSpc>
            <a:defRPr sz="1000"/>
          </a:pPr>
          <a:endParaRPr lang="es-AR" sz="800" b="0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7</xdr:col>
      <xdr:colOff>742950</xdr:colOff>
      <xdr:row>24</xdr:row>
      <xdr:rowOff>133350</xdr:rowOff>
    </xdr:from>
    <xdr:to>
      <xdr:col>8</xdr:col>
      <xdr:colOff>97838</xdr:colOff>
      <xdr:row>30</xdr:row>
      <xdr:rowOff>60324</xdr:rowOff>
    </xdr:to>
    <xdr:pic>
      <xdr:nvPicPr>
        <xdr:cNvPr id="235" name="Imagen 234">
          <a:extLst>
            <a:ext uri="{FF2B5EF4-FFF2-40B4-BE49-F238E27FC236}">
              <a16:creationId xmlns:a16="http://schemas.microsoft.com/office/drawing/2014/main" id="{94302CEC-C60D-491C-963D-205817570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6950" y="4705350"/>
          <a:ext cx="116888" cy="1069974"/>
        </a:xfrm>
        <a:prstGeom prst="rect">
          <a:avLst/>
        </a:prstGeom>
      </xdr:spPr>
    </xdr:pic>
    <xdr:clientData/>
  </xdr:twoCellAnchor>
  <xdr:twoCellAnchor>
    <xdr:from>
      <xdr:col>10</xdr:col>
      <xdr:colOff>71437</xdr:colOff>
      <xdr:row>10</xdr:row>
      <xdr:rowOff>0</xdr:rowOff>
    </xdr:from>
    <xdr:to>
      <xdr:col>10</xdr:col>
      <xdr:colOff>681519</xdr:colOff>
      <xdr:row>17</xdr:row>
      <xdr:rowOff>164970</xdr:rowOff>
    </xdr:to>
    <xdr:cxnSp macro="">
      <xdr:nvCxnSpPr>
        <xdr:cNvPr id="241" name="Conector: angular 240">
          <a:extLst>
            <a:ext uri="{FF2B5EF4-FFF2-40B4-BE49-F238E27FC236}">
              <a16:creationId xmlns:a16="http://schemas.microsoft.com/office/drawing/2014/main" id="{D0AE7380-98BF-40ED-8506-34D28A3CF3BF}"/>
            </a:ext>
          </a:extLst>
        </xdr:cNvPr>
        <xdr:cNvCxnSpPr>
          <a:endCxn id="187" idx="1"/>
        </xdr:cNvCxnSpPr>
      </xdr:nvCxnSpPr>
      <xdr:spPr>
        <a:xfrm rot="16200000" flipH="1">
          <a:off x="7247243" y="2349194"/>
          <a:ext cx="1498470" cy="61008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296060</xdr:colOff>
      <xdr:row>11</xdr:row>
      <xdr:rowOff>68785</xdr:rowOff>
    </xdr:from>
    <xdr:to>
      <xdr:col>12</xdr:col>
      <xdr:colOff>688458</xdr:colOff>
      <xdr:row>16</xdr:row>
      <xdr:rowOff>141157</xdr:rowOff>
    </xdr:to>
    <xdr:cxnSp macro="">
      <xdr:nvCxnSpPr>
        <xdr:cNvPr id="243" name="Conector: angular 242">
          <a:extLst>
            <a:ext uri="{FF2B5EF4-FFF2-40B4-BE49-F238E27FC236}">
              <a16:creationId xmlns:a16="http://schemas.microsoft.com/office/drawing/2014/main" id="{9EF01D83-14B9-422E-9076-B0222A3F16C4}"/>
            </a:ext>
          </a:extLst>
        </xdr:cNvPr>
        <xdr:cNvCxnSpPr>
          <a:stCxn id="187" idx="0"/>
          <a:endCxn id="192" idx="1"/>
        </xdr:cNvCxnSpPr>
      </xdr:nvCxnSpPr>
      <xdr:spPr>
        <a:xfrm rot="16200000" flipH="1">
          <a:off x="8742823" y="2099522"/>
          <a:ext cx="1024872" cy="1154398"/>
        </a:xfrm>
        <a:prstGeom prst="bentConnector4">
          <a:avLst>
            <a:gd name="adj1" fmla="val -22305"/>
            <a:gd name="adj2" fmla="val 66309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672600</xdr:colOff>
      <xdr:row>17</xdr:row>
      <xdr:rowOff>164971</xdr:rowOff>
    </xdr:from>
    <xdr:to>
      <xdr:col>13</xdr:col>
      <xdr:colOff>302365</xdr:colOff>
      <xdr:row>23</xdr:row>
      <xdr:rowOff>46843</xdr:rowOff>
    </xdr:to>
    <xdr:cxnSp macro="">
      <xdr:nvCxnSpPr>
        <xdr:cNvPr id="245" name="Conector: angular 244">
          <a:extLst>
            <a:ext uri="{FF2B5EF4-FFF2-40B4-BE49-F238E27FC236}">
              <a16:creationId xmlns:a16="http://schemas.microsoft.com/office/drawing/2014/main" id="{58D067C8-07A9-48A0-B75D-61D2CF480DA5}"/>
            </a:ext>
          </a:extLst>
        </xdr:cNvPr>
        <xdr:cNvCxnSpPr>
          <a:stCxn id="192" idx="2"/>
          <a:endCxn id="187" idx="3"/>
        </xdr:cNvCxnSpPr>
      </xdr:nvCxnSpPr>
      <xdr:spPr>
        <a:xfrm rot="5400000" flipH="1">
          <a:off x="9119047" y="3339024"/>
          <a:ext cx="1024872" cy="1153765"/>
        </a:xfrm>
        <a:prstGeom prst="bentConnector4">
          <a:avLst>
            <a:gd name="adj1" fmla="val -22305"/>
            <a:gd name="adj2" fmla="val 6629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718634</xdr:colOff>
      <xdr:row>7</xdr:row>
      <xdr:rowOff>178594</xdr:rowOff>
    </xdr:from>
    <xdr:to>
      <xdr:col>17</xdr:col>
      <xdr:colOff>726281</xdr:colOff>
      <xdr:row>11</xdr:row>
      <xdr:rowOff>68785</xdr:rowOff>
    </xdr:to>
    <xdr:cxnSp macro="">
      <xdr:nvCxnSpPr>
        <xdr:cNvPr id="255" name="Conector recto de flecha 254">
          <a:extLst>
            <a:ext uri="{FF2B5EF4-FFF2-40B4-BE49-F238E27FC236}">
              <a16:creationId xmlns:a16="http://schemas.microsoft.com/office/drawing/2014/main" id="{9D1D6776-2237-4D89-AD9D-6ACE4E350FBF}"/>
            </a:ext>
          </a:extLst>
        </xdr:cNvPr>
        <xdr:cNvCxnSpPr>
          <a:stCxn id="196" idx="0"/>
        </xdr:cNvCxnSpPr>
      </xdr:nvCxnSpPr>
      <xdr:spPr>
        <a:xfrm flipV="1">
          <a:off x="13672634" y="1512094"/>
          <a:ext cx="7647" cy="65219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714375</xdr:colOff>
      <xdr:row>24</xdr:row>
      <xdr:rowOff>70655</xdr:rowOff>
    </xdr:from>
    <xdr:to>
      <xdr:col>17</xdr:col>
      <xdr:colOff>718634</xdr:colOff>
      <xdr:row>29</xdr:row>
      <xdr:rowOff>166687</xdr:rowOff>
    </xdr:to>
    <xdr:cxnSp macro="">
      <xdr:nvCxnSpPr>
        <xdr:cNvPr id="258" name="Conector recto de flecha 257">
          <a:extLst>
            <a:ext uri="{FF2B5EF4-FFF2-40B4-BE49-F238E27FC236}">
              <a16:creationId xmlns:a16="http://schemas.microsoft.com/office/drawing/2014/main" id="{5BEC3E45-D8ED-4869-B81C-DADBC138AA91}"/>
            </a:ext>
          </a:extLst>
        </xdr:cNvPr>
        <xdr:cNvCxnSpPr>
          <a:stCxn id="196" idx="2"/>
        </xdr:cNvCxnSpPr>
      </xdr:nvCxnSpPr>
      <xdr:spPr>
        <a:xfrm flipH="1">
          <a:off x="13668375" y="4642655"/>
          <a:ext cx="4259" cy="104853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398856</xdr:colOff>
      <xdr:row>8</xdr:row>
      <xdr:rowOff>178594</xdr:rowOff>
    </xdr:from>
    <xdr:to>
      <xdr:col>15</xdr:col>
      <xdr:colOff>404812</xdr:colOff>
      <xdr:row>11</xdr:row>
      <xdr:rowOff>68786</xdr:rowOff>
    </xdr:to>
    <xdr:cxnSp macro="">
      <xdr:nvCxnSpPr>
        <xdr:cNvPr id="260" name="Conector recto de flecha 259">
          <a:extLst>
            <a:ext uri="{FF2B5EF4-FFF2-40B4-BE49-F238E27FC236}">
              <a16:creationId xmlns:a16="http://schemas.microsoft.com/office/drawing/2014/main" id="{F49940EF-3B82-41A6-8DD5-96FAC640F5B0}"/>
            </a:ext>
          </a:extLst>
        </xdr:cNvPr>
        <xdr:cNvCxnSpPr>
          <a:stCxn id="194" idx="0"/>
        </xdr:cNvCxnSpPr>
      </xdr:nvCxnSpPr>
      <xdr:spPr>
        <a:xfrm flipV="1">
          <a:off x="11828856" y="1702594"/>
          <a:ext cx="5956" cy="46169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285750</xdr:colOff>
      <xdr:row>4</xdr:row>
      <xdr:rowOff>0</xdr:rowOff>
    </xdr:from>
    <xdr:to>
      <xdr:col>13</xdr:col>
      <xdr:colOff>297656</xdr:colOff>
      <xdr:row>10</xdr:row>
      <xdr:rowOff>59531</xdr:rowOff>
    </xdr:to>
    <xdr:cxnSp macro="">
      <xdr:nvCxnSpPr>
        <xdr:cNvPr id="262" name="Conector recto de flecha 261">
          <a:extLst>
            <a:ext uri="{FF2B5EF4-FFF2-40B4-BE49-F238E27FC236}">
              <a16:creationId xmlns:a16="http://schemas.microsoft.com/office/drawing/2014/main" id="{984993F1-BAB8-48DA-B2D8-00C62CC6BAE5}"/>
            </a:ext>
          </a:extLst>
        </xdr:cNvPr>
        <xdr:cNvCxnSpPr/>
      </xdr:nvCxnSpPr>
      <xdr:spPr>
        <a:xfrm flipH="1" flipV="1">
          <a:off x="10191750" y="762000"/>
          <a:ext cx="11906" cy="120253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296060</xdr:colOff>
      <xdr:row>24</xdr:row>
      <xdr:rowOff>70655</xdr:rowOff>
    </xdr:from>
    <xdr:to>
      <xdr:col>11</xdr:col>
      <xdr:colOff>309562</xdr:colOff>
      <xdr:row>30</xdr:row>
      <xdr:rowOff>35719</xdr:rowOff>
    </xdr:to>
    <xdr:cxnSp macro="">
      <xdr:nvCxnSpPr>
        <xdr:cNvPr id="264" name="Conector recto de flecha 263">
          <a:extLst>
            <a:ext uri="{FF2B5EF4-FFF2-40B4-BE49-F238E27FC236}">
              <a16:creationId xmlns:a16="http://schemas.microsoft.com/office/drawing/2014/main" id="{8A87FEFB-2F4D-42E8-AE89-8C1F4D94B9E9}"/>
            </a:ext>
          </a:extLst>
        </xdr:cNvPr>
        <xdr:cNvCxnSpPr>
          <a:stCxn id="187" idx="2"/>
        </xdr:cNvCxnSpPr>
      </xdr:nvCxnSpPr>
      <xdr:spPr>
        <a:xfrm>
          <a:off x="8678060" y="4642655"/>
          <a:ext cx="13502" cy="110806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154781</xdr:colOff>
      <xdr:row>6</xdr:row>
      <xdr:rowOff>142875</xdr:rowOff>
    </xdr:from>
    <xdr:to>
      <xdr:col>5</xdr:col>
      <xdr:colOff>154781</xdr:colOff>
      <xdr:row>11</xdr:row>
      <xdr:rowOff>47625</xdr:rowOff>
    </xdr:to>
    <xdr:cxnSp macro="">
      <xdr:nvCxnSpPr>
        <xdr:cNvPr id="266" name="Conector recto de flecha 265">
          <a:extLst>
            <a:ext uri="{FF2B5EF4-FFF2-40B4-BE49-F238E27FC236}">
              <a16:creationId xmlns:a16="http://schemas.microsoft.com/office/drawing/2014/main" id="{2B59B4E9-92A9-40B6-B390-5117912D188F}"/>
            </a:ext>
          </a:extLst>
        </xdr:cNvPr>
        <xdr:cNvCxnSpPr/>
      </xdr:nvCxnSpPr>
      <xdr:spPr>
        <a:xfrm flipV="1">
          <a:off x="3964781" y="1285875"/>
          <a:ext cx="0" cy="8572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137434</xdr:colOff>
      <xdr:row>24</xdr:row>
      <xdr:rowOff>3309</xdr:rowOff>
    </xdr:from>
    <xdr:to>
      <xdr:col>5</xdr:col>
      <xdr:colOff>142875</xdr:colOff>
      <xdr:row>30</xdr:row>
      <xdr:rowOff>0</xdr:rowOff>
    </xdr:to>
    <xdr:cxnSp macro="">
      <xdr:nvCxnSpPr>
        <xdr:cNvPr id="268" name="Conector recto de flecha 267">
          <a:extLst>
            <a:ext uri="{FF2B5EF4-FFF2-40B4-BE49-F238E27FC236}">
              <a16:creationId xmlns:a16="http://schemas.microsoft.com/office/drawing/2014/main" id="{4EA1A805-6B5D-4010-B965-15DA36B67D4D}"/>
            </a:ext>
          </a:extLst>
        </xdr:cNvPr>
        <xdr:cNvCxnSpPr>
          <a:stCxn id="188" idx="2"/>
        </xdr:cNvCxnSpPr>
      </xdr:nvCxnSpPr>
      <xdr:spPr>
        <a:xfrm>
          <a:off x="3947434" y="4575309"/>
          <a:ext cx="5441" cy="113969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83344</xdr:colOff>
      <xdr:row>9</xdr:row>
      <xdr:rowOff>23812</xdr:rowOff>
    </xdr:from>
    <xdr:to>
      <xdr:col>8</xdr:col>
      <xdr:colOff>83344</xdr:colOff>
      <xdr:row>11</xdr:row>
      <xdr:rowOff>83344</xdr:rowOff>
    </xdr:to>
    <xdr:cxnSp macro="">
      <xdr:nvCxnSpPr>
        <xdr:cNvPr id="270" name="Conector recto de flecha 269">
          <a:extLst>
            <a:ext uri="{FF2B5EF4-FFF2-40B4-BE49-F238E27FC236}">
              <a16:creationId xmlns:a16="http://schemas.microsoft.com/office/drawing/2014/main" id="{AFF6AB17-A9F0-40D8-A344-4F538B465D6C}"/>
            </a:ext>
          </a:extLst>
        </xdr:cNvPr>
        <xdr:cNvCxnSpPr/>
      </xdr:nvCxnSpPr>
      <xdr:spPr>
        <a:xfrm flipV="1">
          <a:off x="6179344" y="1738312"/>
          <a:ext cx="0" cy="44053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285750</xdr:colOff>
      <xdr:row>18</xdr:row>
      <xdr:rowOff>35719</xdr:rowOff>
    </xdr:from>
    <xdr:to>
      <xdr:col>14</xdr:col>
      <xdr:colOff>297656</xdr:colOff>
      <xdr:row>31</xdr:row>
      <xdr:rowOff>11906</xdr:rowOff>
    </xdr:to>
    <xdr:cxnSp macro="">
      <xdr:nvCxnSpPr>
        <xdr:cNvPr id="282" name="Conector recto 281">
          <a:extLst>
            <a:ext uri="{FF2B5EF4-FFF2-40B4-BE49-F238E27FC236}">
              <a16:creationId xmlns:a16="http://schemas.microsoft.com/office/drawing/2014/main" id="{8E4B2176-935E-453F-93F5-24CC80EAD736}"/>
            </a:ext>
          </a:extLst>
        </xdr:cNvPr>
        <xdr:cNvCxnSpPr/>
      </xdr:nvCxnSpPr>
      <xdr:spPr>
        <a:xfrm flipH="1">
          <a:off x="10953750" y="3464719"/>
          <a:ext cx="11906" cy="24526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31</xdr:row>
      <xdr:rowOff>0</xdr:rowOff>
    </xdr:from>
    <xdr:to>
      <xdr:col>14</xdr:col>
      <xdr:colOff>297656</xdr:colOff>
      <xdr:row>31</xdr:row>
      <xdr:rowOff>0</xdr:rowOff>
    </xdr:to>
    <xdr:cxnSp macro="">
      <xdr:nvCxnSpPr>
        <xdr:cNvPr id="284" name="Conector recto 283">
          <a:extLst>
            <a:ext uri="{FF2B5EF4-FFF2-40B4-BE49-F238E27FC236}">
              <a16:creationId xmlns:a16="http://schemas.microsoft.com/office/drawing/2014/main" id="{4736F964-1496-40D8-AF30-92DF12618055}"/>
            </a:ext>
          </a:extLst>
        </xdr:cNvPr>
        <xdr:cNvCxnSpPr/>
      </xdr:nvCxnSpPr>
      <xdr:spPr>
        <a:xfrm>
          <a:off x="9144000" y="5905500"/>
          <a:ext cx="182165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559594</xdr:colOff>
      <xdr:row>18</xdr:row>
      <xdr:rowOff>47625</xdr:rowOff>
    </xdr:from>
    <xdr:to>
      <xdr:col>16</xdr:col>
      <xdr:colOff>559594</xdr:colOff>
      <xdr:row>34</xdr:row>
      <xdr:rowOff>107156</xdr:rowOff>
    </xdr:to>
    <xdr:cxnSp macro="">
      <xdr:nvCxnSpPr>
        <xdr:cNvPr id="287" name="Conector recto 286">
          <a:extLst>
            <a:ext uri="{FF2B5EF4-FFF2-40B4-BE49-F238E27FC236}">
              <a16:creationId xmlns:a16="http://schemas.microsoft.com/office/drawing/2014/main" id="{0A5851DD-645B-4893-B28E-BD3B089EF2D3}"/>
            </a:ext>
          </a:extLst>
        </xdr:cNvPr>
        <xdr:cNvCxnSpPr/>
      </xdr:nvCxnSpPr>
      <xdr:spPr>
        <a:xfrm>
          <a:off x="12751594" y="3476625"/>
          <a:ext cx="0" cy="310753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392906</xdr:colOff>
      <xdr:row>24</xdr:row>
      <xdr:rowOff>3309</xdr:rowOff>
    </xdr:from>
    <xdr:to>
      <xdr:col>15</xdr:col>
      <xdr:colOff>398856</xdr:colOff>
      <xdr:row>33</xdr:row>
      <xdr:rowOff>0</xdr:rowOff>
    </xdr:to>
    <xdr:cxnSp macro="">
      <xdr:nvCxnSpPr>
        <xdr:cNvPr id="290" name="Conector recto de flecha 289">
          <a:extLst>
            <a:ext uri="{FF2B5EF4-FFF2-40B4-BE49-F238E27FC236}">
              <a16:creationId xmlns:a16="http://schemas.microsoft.com/office/drawing/2014/main" id="{85576C80-4E5B-4E73-A7B4-79142E089C1A}"/>
            </a:ext>
          </a:extLst>
        </xdr:cNvPr>
        <xdr:cNvCxnSpPr>
          <a:stCxn id="194" idx="2"/>
        </xdr:cNvCxnSpPr>
      </xdr:nvCxnSpPr>
      <xdr:spPr>
        <a:xfrm flipH="1">
          <a:off x="11822906" y="4575309"/>
          <a:ext cx="5950" cy="171119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88632-0129-49EF-A110-C6105BDA4222}">
  <sheetPr codeName="Hoja4"/>
  <dimension ref="A1:M15"/>
  <sheetViews>
    <sheetView workbookViewId="0">
      <selection activeCell="L12" sqref="L12"/>
    </sheetView>
  </sheetViews>
  <sheetFormatPr defaultColWidth="11.42578125" defaultRowHeight="15" x14ac:dyDescent="0.25"/>
  <cols>
    <col min="1" max="1" width="28.140625" bestFit="1" customWidth="1"/>
    <col min="13" max="13" width="11.5703125" bestFit="1" customWidth="1"/>
  </cols>
  <sheetData>
    <row r="1" spans="1:13" x14ac:dyDescent="0.25">
      <c r="A1" s="14"/>
      <c r="B1">
        <v>38</v>
      </c>
      <c r="C1">
        <v>39</v>
      </c>
      <c r="D1">
        <v>40</v>
      </c>
      <c r="E1">
        <v>41</v>
      </c>
      <c r="F1">
        <v>42</v>
      </c>
      <c r="G1">
        <v>43</v>
      </c>
      <c r="H1">
        <v>44</v>
      </c>
      <c r="I1">
        <v>45</v>
      </c>
      <c r="J1">
        <v>46</v>
      </c>
      <c r="K1">
        <v>47</v>
      </c>
      <c r="L1">
        <v>48</v>
      </c>
      <c r="M1" s="14">
        <v>18</v>
      </c>
    </row>
    <row r="2" spans="1:13" x14ac:dyDescent="0.25">
      <c r="A2" s="14"/>
      <c r="B2" t="s">
        <v>31</v>
      </c>
      <c r="C2" t="s">
        <v>31</v>
      </c>
      <c r="D2" t="s">
        <v>31</v>
      </c>
      <c r="E2" t="s">
        <v>31</v>
      </c>
      <c r="F2" t="s">
        <v>31</v>
      </c>
      <c r="G2" t="s">
        <v>31</v>
      </c>
      <c r="H2" t="s">
        <v>31</v>
      </c>
      <c r="I2" t="s">
        <v>31</v>
      </c>
      <c r="J2" t="s">
        <v>31</v>
      </c>
      <c r="K2" t="s">
        <v>32</v>
      </c>
      <c r="L2" t="s">
        <v>31</v>
      </c>
      <c r="M2" s="14" t="s">
        <v>31</v>
      </c>
    </row>
    <row r="3" spans="1:13" x14ac:dyDescent="0.25">
      <c r="A3" s="15"/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I3" t="s">
        <v>7</v>
      </c>
      <c r="J3" t="s">
        <v>8</v>
      </c>
      <c r="K3" t="s">
        <v>9</v>
      </c>
      <c r="L3" t="s">
        <v>10</v>
      </c>
      <c r="M3" t="s">
        <v>11</v>
      </c>
    </row>
    <row r="4" spans="1:13" x14ac:dyDescent="0.25">
      <c r="A4" s="15"/>
    </row>
    <row r="5" spans="1:13" x14ac:dyDescent="0.25">
      <c r="A5" s="15"/>
    </row>
    <row r="6" spans="1:13" x14ac:dyDescent="0.25">
      <c r="A6" s="15" t="s">
        <v>30</v>
      </c>
      <c r="B6">
        <v>0.02</v>
      </c>
      <c r="C6">
        <v>0.02</v>
      </c>
      <c r="D6">
        <v>0.1</v>
      </c>
      <c r="E6">
        <v>0.02</v>
      </c>
      <c r="F6">
        <v>0.02</v>
      </c>
      <c r="G6">
        <v>0.02</v>
      </c>
      <c r="H6">
        <v>0.1</v>
      </c>
      <c r="I6">
        <v>0.02</v>
      </c>
      <c r="J6">
        <v>0.1</v>
      </c>
      <c r="K6">
        <v>7.0000000000000001E-3</v>
      </c>
      <c r="L6">
        <v>0.02</v>
      </c>
      <c r="M6">
        <v>0.1</v>
      </c>
    </row>
    <row r="7" spans="1:13" x14ac:dyDescent="0.25">
      <c r="A7" s="15"/>
    </row>
    <row r="8" spans="1:13" x14ac:dyDescent="0.25">
      <c r="A8" s="15"/>
    </row>
    <row r="9" spans="1:13" x14ac:dyDescent="0.25">
      <c r="A9" s="15"/>
    </row>
    <row r="12" spans="1:13" x14ac:dyDescent="0.25">
      <c r="M12" s="18"/>
    </row>
    <row r="13" spans="1:13" x14ac:dyDescent="0.25">
      <c r="A13" s="16"/>
      <c r="M13" s="18"/>
    </row>
    <row r="14" spans="1:13" x14ac:dyDescent="0.25">
      <c r="A14" s="17"/>
      <c r="M14" s="18"/>
    </row>
    <row r="15" spans="1:13" x14ac:dyDescent="0.25">
      <c r="A15" s="1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71558-1CA7-4E8D-9B40-87D7B84D6818}">
  <sheetPr codeName="Hoja1"/>
  <dimension ref="A1:M30"/>
  <sheetViews>
    <sheetView workbookViewId="0">
      <selection activeCell="B14" sqref="B14"/>
    </sheetView>
  </sheetViews>
  <sheetFormatPr defaultColWidth="11.42578125" defaultRowHeight="15" x14ac:dyDescent="0.25"/>
  <sheetData>
    <row r="1" spans="1:13" x14ac:dyDescent="0.25">
      <c r="A1" s="2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3" x14ac:dyDescent="0.25">
      <c r="B2">
        <v>40</v>
      </c>
      <c r="C2">
        <v>41</v>
      </c>
      <c r="D2">
        <v>42</v>
      </c>
      <c r="E2">
        <v>43</v>
      </c>
      <c r="F2">
        <v>44</v>
      </c>
      <c r="G2">
        <v>45</v>
      </c>
      <c r="H2">
        <v>46</v>
      </c>
      <c r="I2">
        <v>47</v>
      </c>
      <c r="J2">
        <v>48</v>
      </c>
      <c r="K2">
        <v>49</v>
      </c>
      <c r="L2">
        <v>50</v>
      </c>
      <c r="M2">
        <v>20</v>
      </c>
    </row>
    <row r="3" spans="1:13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I3" t="s">
        <v>7</v>
      </c>
      <c r="J3" t="s">
        <v>8</v>
      </c>
      <c r="K3" t="s">
        <v>9</v>
      </c>
      <c r="L3" t="s">
        <v>10</v>
      </c>
      <c r="M3" t="s">
        <v>11</v>
      </c>
    </row>
    <row r="4" spans="1:13" x14ac:dyDescent="0.25">
      <c r="B4">
        <f>+reconciliación!B4*'datos instrumentos'!B$6</f>
        <v>1066.3829780628364</v>
      </c>
      <c r="C4">
        <f>+reconciliación!C4*'datos instrumentos'!C$6</f>
        <v>416.77031841868887</v>
      </c>
      <c r="D4">
        <f>+reconciliación!D4*'datos instrumentos'!D$6</f>
        <v>3814.7107129064025</v>
      </c>
      <c r="E4">
        <f>+reconciliación!E4*'datos instrumentos'!E$6</f>
        <v>672.52232502095728</v>
      </c>
      <c r="F4">
        <f>+reconciliación!F4*'datos instrumentos'!F$6</f>
        <v>7.8943353812979158</v>
      </c>
      <c r="G4">
        <f>+reconciliación!G4*'datos instrumentos'!G$6</f>
        <v>618.82881886818598</v>
      </c>
      <c r="H4">
        <f>+reconciliación!H4*'datos instrumentos'!H$6</f>
        <v>882.8474418357506</v>
      </c>
      <c r="I4">
        <f>+reconciliación!I4*'datos instrumentos'!I$6</f>
        <v>104.10044178417532</v>
      </c>
      <c r="J4">
        <f>+reconciliación!J4*'datos instrumentos'!J$6</f>
        <v>362.34523291487403</v>
      </c>
      <c r="K4">
        <f>+reconciliación!K4*'datos instrumentos'!K$6</f>
        <v>6.9305302238807744</v>
      </c>
      <c r="L4">
        <f>+reconciliación!L4*'datos instrumentos'!L$6</f>
        <v>94.93514614539545</v>
      </c>
      <c r="M4">
        <f>+reconciliación!M4*'datos instrumentos'!M$6</f>
        <v>4553.3540974872576</v>
      </c>
    </row>
    <row r="5" spans="1:13" x14ac:dyDescent="0.25">
      <c r="B5">
        <f>+reconciliación!B5*'datos instrumentos'!B$6</f>
        <v>1942.2893726385557</v>
      </c>
      <c r="C5">
        <f>+reconciliación!C5*'datos instrumentos'!C$6</f>
        <v>463.13832711537043</v>
      </c>
      <c r="D5">
        <f>+reconciliación!D5*'datos instrumentos'!D$6</f>
        <v>8650.5154392466775</v>
      </c>
      <c r="E5">
        <f>+reconciliación!E5*'datos instrumentos'!E$6</f>
        <v>1093.8741277256956</v>
      </c>
      <c r="F5">
        <f>+reconciliación!F5*'datos instrumentos'!F$6</f>
        <v>214.55171672083173</v>
      </c>
      <c r="G5">
        <f>+reconciliación!G5*'datos instrumentos'!G$6</f>
        <v>561.72264980131138</v>
      </c>
      <c r="H5">
        <f>+reconciliación!H5*'datos instrumentos'!H$6</f>
        <v>1176.30632402826</v>
      </c>
      <c r="I5">
        <f>+reconciliación!I5*'datos instrumentos'!I$6</f>
        <v>99.953084843485613</v>
      </c>
      <c r="J5">
        <f>+reconciliación!J5*'datos instrumentos'!J$6</f>
        <v>676.54089981083189</v>
      </c>
      <c r="K5">
        <f>+reconciliación!K5*'datos instrumentos'!K$6</f>
        <v>14.61005267258602</v>
      </c>
      <c r="L5">
        <f>+reconciliación!L5*'datos instrumentos'!L$6</f>
        <v>142.98183081980693</v>
      </c>
      <c r="M5">
        <f>+reconciliación!M5*'datos instrumentos'!M$6</f>
        <v>3123.4629799804165</v>
      </c>
    </row>
    <row r="6" spans="1:13" x14ac:dyDescent="0.25">
      <c r="B6">
        <f>+reconciliación!B6*'datos instrumentos'!B$6</f>
        <v>1965.0245277762797</v>
      </c>
      <c r="C6">
        <f>+reconciliación!C6*'datos instrumentos'!C$6</f>
        <v>464.674437007476</v>
      </c>
      <c r="D6">
        <f>+reconciliación!D6*'datos instrumentos'!D$6</f>
        <v>8774.4420342052272</v>
      </c>
      <c r="E6">
        <f>+reconciliación!E6*'datos instrumentos'!E$6</f>
        <v>1165.0222009985712</v>
      </c>
      <c r="F6">
        <f>+reconciliación!F6*'datos instrumentos'!F$6</f>
        <v>206.5193534681236</v>
      </c>
      <c r="G6">
        <f>+reconciliación!G6*'datos instrumentos'!G$6</f>
        <v>550.49928854783923</v>
      </c>
      <c r="H6">
        <f>+reconciliación!H6*'datos instrumentos'!H$6</f>
        <v>1331.7340463330147</v>
      </c>
      <c r="I6">
        <f>+reconciliación!I6*'datos instrumentos'!I$6</f>
        <v>113.76321609098621</v>
      </c>
      <c r="J6">
        <f>+reconciliación!J6*'datos instrumentos'!J$6</f>
        <v>762.91796587808358</v>
      </c>
      <c r="K6">
        <f>+reconciliación!K6*'datos instrumentos'!K$6</f>
        <v>16.99029001639909</v>
      </c>
      <c r="L6">
        <f>+reconciliación!L6*'datos instrumentos'!L$6</f>
        <v>153.07964417868914</v>
      </c>
      <c r="M6">
        <f>+reconciliación!M6*'datos instrumentos'!M$6</f>
        <v>3328.2063544013199</v>
      </c>
    </row>
    <row r="7" spans="1:13" x14ac:dyDescent="0.25">
      <c r="B7">
        <f>+reconciliación!B7*'datos instrumentos'!B$6</f>
        <v>1962.2317113294127</v>
      </c>
      <c r="C7">
        <f>+reconciliación!C7*'datos instrumentos'!C$6</f>
        <v>455.76586494865796</v>
      </c>
      <c r="D7">
        <f>+reconciliación!D7*'datos instrumentos'!D$6</f>
        <v>8816.3494840969415</v>
      </c>
      <c r="E7">
        <f>+reconciliación!E7*'datos instrumentos'!E$6</f>
        <v>1158.2612944177449</v>
      </c>
      <c r="F7">
        <f>+reconciliación!F7*'datos instrumentos'!F$6</f>
        <v>192.06637446690758</v>
      </c>
      <c r="G7">
        <f>+reconciliación!G7*'datos instrumentos'!G$6</f>
        <v>515.93142226649968</v>
      </c>
      <c r="H7">
        <f>+reconciliación!H7*'datos instrumentos'!H$6</f>
        <v>1349.5092270874811</v>
      </c>
      <c r="I7">
        <f>+reconciliación!I7*'datos instrumentos'!I$6</f>
        <v>110.36652488163611</v>
      </c>
      <c r="J7">
        <f>+reconciliación!J7*'datos instrumentos'!J$6</f>
        <v>797.67660267930069</v>
      </c>
      <c r="K7">
        <f>+reconciliación!K7*'datos instrumentos'!K$6</f>
        <v>18.789418945315798</v>
      </c>
      <c r="L7">
        <f>+reconciliación!L7*'datos instrumentos'!L$6</f>
        <v>164.91560615258163</v>
      </c>
      <c r="M7">
        <f>+reconciliación!M7*'datos instrumentos'!M$6</f>
        <v>3454.5258898407951</v>
      </c>
    </row>
    <row r="8" spans="1:13" x14ac:dyDescent="0.25">
      <c r="B8">
        <f>+reconciliación!B8*'datos instrumentos'!B$6</f>
        <v>1964.8393322155614</v>
      </c>
      <c r="C8">
        <f>+reconciliación!C8*'datos instrumentos'!C$6</f>
        <v>479.62916683233459</v>
      </c>
      <c r="D8">
        <f>+reconciliación!D8*'datos instrumentos'!D$6</f>
        <v>8719.4513087628184</v>
      </c>
      <c r="E8">
        <f>+reconciliación!E8*'datos instrumentos'!E$6</f>
        <v>1206.4360887404441</v>
      </c>
      <c r="F8">
        <f>+reconciliación!F8*'datos instrumentos'!F$6</f>
        <v>211.60825244655527</v>
      </c>
      <c r="G8">
        <f>+reconciliación!G8*'datos instrumentos'!G$6</f>
        <v>549.80541956069339</v>
      </c>
      <c r="H8">
        <f>+reconciliación!H8*'datos instrumentos'!H$6</f>
        <v>1429.4423830698515</v>
      </c>
      <c r="I8">
        <f>+reconciliación!I8*'datos instrumentos'!I$6</f>
        <v>113.08472433765289</v>
      </c>
      <c r="J8">
        <f>+reconciliación!J8*'datos instrumentos'!J$6</f>
        <v>864.01876138158718</v>
      </c>
      <c r="K8">
        <f>+reconciliación!K8*'datos instrumentos'!K$6</f>
        <v>12.388765957288738</v>
      </c>
      <c r="L8">
        <f>+reconciliación!L8*'datos instrumentos'!L$6</f>
        <v>184.92892967697557</v>
      </c>
      <c r="M8">
        <f>+reconciliación!M8*'datos instrumentos'!M$6</f>
        <v>3385.7731788610845</v>
      </c>
    </row>
    <row r="9" spans="1:13" x14ac:dyDescent="0.25">
      <c r="B9">
        <f>+reconciliación!B9*'datos instrumentos'!B$6</f>
        <v>2084.1906553334779</v>
      </c>
      <c r="C9">
        <f>+reconciliación!C9*'datos instrumentos'!C$6</f>
        <v>485.57725694728668</v>
      </c>
      <c r="D9">
        <f>+reconciliación!D9*'datos instrumentos'!D$6</f>
        <v>9361.9632175182378</v>
      </c>
      <c r="E9">
        <f>+reconciliación!E9*'datos instrumentos'!E$6</f>
        <v>1270.5929869251545</v>
      </c>
      <c r="F9">
        <f>+reconciliación!F9*'datos instrumentos'!F$6</f>
        <v>201.95108877172203</v>
      </c>
      <c r="G9">
        <f>+reconciliación!G9*'datos instrumentos'!G$6</f>
        <v>529.23625967079306</v>
      </c>
      <c r="H9">
        <f>+reconciliación!H9*'datos instrumentos'!H$6</f>
        <v>1102.756012110664</v>
      </c>
      <c r="I9">
        <f>+reconciliación!I9*'datos instrumentos'!I$6</f>
        <v>111.33354022196514</v>
      </c>
      <c r="J9">
        <f>+reconciliación!J9*'datos instrumentos'!J$6</f>
        <v>546.08831100083808</v>
      </c>
      <c r="K9">
        <f>+reconciliación!K9*'datos instrumentos'!K$6</f>
        <v>11.686960417793662</v>
      </c>
      <c r="L9">
        <f>+reconciliación!L9*'datos instrumentos'!L$6</f>
        <v>121.10537234328858</v>
      </c>
      <c r="M9">
        <f>+reconciliación!M9*'datos instrumentos'!M$6</f>
        <v>2674.4270587817186</v>
      </c>
    </row>
    <row r="10" spans="1:13" x14ac:dyDescent="0.25">
      <c r="B10">
        <f>+reconciliación!B10*'datos instrumentos'!B$6</f>
        <v>1845.1142372428383</v>
      </c>
      <c r="C10">
        <f>+reconciliación!C10*'datos instrumentos'!C$6</f>
        <v>449.28625494033031</v>
      </c>
      <c r="D10">
        <f>+reconciliación!D10*'datos instrumentos'!D$6</f>
        <v>8162.1654922350135</v>
      </c>
      <c r="E10">
        <f>+reconciliación!E10*'datos instrumentos'!E$6</f>
        <v>1097.6724477477424</v>
      </c>
      <c r="F10">
        <f>+reconciliación!F10*'datos instrumentos'!F$6</f>
        <v>183.74846649849954</v>
      </c>
      <c r="G10">
        <f>+reconciliación!G10*'datos instrumentos'!G$6</f>
        <v>618.94520136783296</v>
      </c>
      <c r="H10">
        <f>+reconciliación!H10*'datos instrumentos'!H$6</f>
        <v>1423.5997077056754</v>
      </c>
      <c r="I10">
        <f>+reconciliación!I10*'datos instrumentos'!I$6</f>
        <v>110.83173967638511</v>
      </c>
      <c r="J10">
        <f>+reconciliación!J10*'datos instrumentos'!J$6</f>
        <v>869.44100932374977</v>
      </c>
      <c r="K10">
        <f>+reconciliación!K10*'datos instrumentos'!K$6</f>
        <v>28.020513456561645</v>
      </c>
      <c r="L10">
        <f>+reconciliación!L10*'datos instrumentos'!L$6</f>
        <v>133.10408654328378</v>
      </c>
      <c r="M10">
        <f>+reconciliación!M10*'datos instrumentos'!M$6</f>
        <v>3662.2991443920068</v>
      </c>
    </row>
    <row r="11" spans="1:13" x14ac:dyDescent="0.25">
      <c r="B11">
        <f>+reconciliación!B11*'datos instrumentos'!B$6</f>
        <v>702.96785316582088</v>
      </c>
      <c r="C11">
        <f>+reconciliación!C11*'datos instrumentos'!C$6</f>
        <v>308.14959535818514</v>
      </c>
      <c r="D11">
        <f>+reconciliación!D11*'datos instrumentos'!D$6</f>
        <v>2302.0669024429949</v>
      </c>
      <c r="E11">
        <f>+reconciliación!E11*'datos instrumentos'!E$6</f>
        <v>440.04568705331002</v>
      </c>
      <c r="F11">
        <f>+reconciliación!F11*'datos instrumentos'!F$6</f>
        <v>27.290372437958055</v>
      </c>
      <c r="G11">
        <f>+reconciliación!G11*'datos instrumentos'!G$6</f>
        <v>780.19623400839646</v>
      </c>
      <c r="H11">
        <f>+reconciliación!H11*'datos instrumentos'!H$6</f>
        <v>908.97748286551473</v>
      </c>
      <c r="I11">
        <f>+reconciliación!I11*'datos instrumentos'!I$6</f>
        <v>68.858360075624489</v>
      </c>
      <c r="J11">
        <f>+reconciliación!J11*'datos instrumentos'!J$6</f>
        <v>564.68568248739223</v>
      </c>
      <c r="K11">
        <f>+reconciliación!K11*'datos instrumentos'!K$6</f>
        <v>5.5429090116968718</v>
      </c>
      <c r="L11">
        <f>+reconciliación!L11*'datos instrumentos'!L$6</f>
        <v>99.261022109507238</v>
      </c>
      <c r="M11">
        <f>+reconciliación!M11*'datos instrumentos'!M$6</f>
        <v>557.0849780638946</v>
      </c>
    </row>
    <row r="12" spans="1:13" x14ac:dyDescent="0.25">
      <c r="B12">
        <f>+reconciliación!B12*'datos instrumentos'!B$6</f>
        <v>765.1730930693318</v>
      </c>
      <c r="C12">
        <f>+reconciliación!C12*'datos instrumentos'!C$6</f>
        <v>193.91317715331888</v>
      </c>
      <c r="D12">
        <f>+reconciliación!D12*'datos instrumentos'!D$6</f>
        <v>3274.5834941549865</v>
      </c>
      <c r="E12">
        <f>+reconciliación!E12*'datos instrumentos'!E$6</f>
        <v>502.95201094014794</v>
      </c>
      <c r="F12">
        <f>+reconciliación!F12*'datos instrumentos'!F$6</f>
        <v>75.179809625299328</v>
      </c>
      <c r="G12">
        <f>+reconciliación!G12*'datos instrumentos'!G$6</f>
        <v>830.94310154098855</v>
      </c>
      <c r="H12">
        <f>+reconciliación!H12*'datos instrumentos'!H$6</f>
        <v>793.88418507625499</v>
      </c>
      <c r="I12">
        <f>+reconciliación!I12*'datos instrumentos'!I$6</f>
        <v>60.803989338713421</v>
      </c>
      <c r="J12">
        <f>+reconciliación!J12*'datos instrumentos'!J$6</f>
        <v>489.86423838268797</v>
      </c>
      <c r="K12">
        <f>+reconciliación!K12*'datos instrumentos'!K$6</f>
        <v>7.8129715171916541</v>
      </c>
      <c r="L12">
        <f>+reconciliación!L12*'datos instrumentos'!L$6</f>
        <v>150.48188030816368</v>
      </c>
      <c r="M12">
        <f>+reconciliación!M12*'datos instrumentos'!M$6</f>
        <v>2171.2546488514272</v>
      </c>
    </row>
    <row r="13" spans="1:13" x14ac:dyDescent="0.25">
      <c r="B13">
        <f>+reconciliación!B13*'datos instrumentos'!B$6</f>
        <v>1542.4417914495646</v>
      </c>
      <c r="C13">
        <f>+reconciliación!C13*'datos instrumentos'!C$6</f>
        <v>373.06010565201774</v>
      </c>
      <c r="D13">
        <f>+reconciliación!D13*'datos instrumentos'!D$6</f>
        <v>6797.5769761820038</v>
      </c>
      <c r="E13">
        <f>+reconciliación!E13*'datos instrumentos'!E$6</f>
        <v>979.49453037928356</v>
      </c>
      <c r="F13">
        <f>+reconciliación!F13*'datos instrumentos'!F$6</f>
        <v>119.03260483468084</v>
      </c>
      <c r="G13">
        <f>+reconciliación!G13*'datos instrumentos'!G$6</f>
        <v>312.50117215577046</v>
      </c>
      <c r="H13">
        <f>+reconciliación!H13*'datos instrumentos'!H$6</f>
        <v>717.83006854926646</v>
      </c>
      <c r="I13">
        <f>+reconciliación!I13*'datos instrumentos'!I$6</f>
        <v>61.168884001110293</v>
      </c>
      <c r="J13">
        <f>+reconciliación!J13*'datos instrumentos'!J$6</f>
        <v>411.985648543715</v>
      </c>
      <c r="K13">
        <f>+reconciliación!K13*'datos instrumentos'!K$6</f>
        <v>9.4442648255713131</v>
      </c>
      <c r="L13">
        <f>+reconciliación!L13*'datos instrumentos'!L$6</f>
        <v>119.70541082518656</v>
      </c>
      <c r="M13">
        <f>+reconciliación!M13*'datos instrumentos'!M$6</f>
        <v>2503.2169982796327</v>
      </c>
    </row>
    <row r="14" spans="1:13" x14ac:dyDescent="0.25">
      <c r="B14">
        <f>+reconciliación!B14*'datos instrumentos'!B$6</f>
        <v>1523.1896650139056</v>
      </c>
      <c r="C14">
        <f>+reconciliación!C14*'datos instrumentos'!C$6</f>
        <v>340.22335309128857</v>
      </c>
      <c r="D14">
        <f>+reconciliación!D14*'datos instrumentos'!D$6</f>
        <v>6805.3197308170074</v>
      </c>
      <c r="E14">
        <f>+reconciliación!E14*'datos instrumentos'!E$6</f>
        <v>1008.6889834032824</v>
      </c>
      <c r="F14">
        <f>+reconciliación!F14*'datos instrumentos'!F$6</f>
        <v>103.8970440967292</v>
      </c>
      <c r="G14">
        <f>+reconciliación!G14*'datos instrumentos'!G$6</f>
        <v>273.85662191243046</v>
      </c>
      <c r="H14">
        <f>+reconciliación!H14*'datos instrumentos'!H$6</f>
        <v>1096.1925261887309</v>
      </c>
      <c r="I14">
        <f>+reconciliación!I14*'datos instrumentos'!I$6</f>
        <v>117.07961637284251</v>
      </c>
      <c r="J14">
        <f>+reconciliación!J14*'datos instrumentos'!J$6</f>
        <v>510.79444432451839</v>
      </c>
      <c r="K14">
        <f>+reconciliación!K14*'datos instrumentos'!K$6</f>
        <v>7.0906118171479333</v>
      </c>
      <c r="L14">
        <f>+reconciliación!L14*'datos instrumentos'!L$6</f>
        <v>135.25912546687636</v>
      </c>
      <c r="M14">
        <f>+reconciliación!M14*'datos instrumentos'!M$6</f>
        <v>2841.8115923015462</v>
      </c>
    </row>
    <row r="15" spans="1:13" x14ac:dyDescent="0.25">
      <c r="B15">
        <f>+reconciliación!B15*'datos instrumentos'!B$6</f>
        <v>1410.3910418547948</v>
      </c>
      <c r="C15">
        <f>+reconciliación!C15*'datos instrumentos'!C$6</f>
        <v>379.03574940511982</v>
      </c>
      <c r="D15">
        <f>+reconciliación!D15*'datos instrumentos'!D$6</f>
        <v>5938.7749281890428</v>
      </c>
      <c r="E15">
        <f>+reconciliación!E15*'datos instrumentos'!E$6</f>
        <v>913.40017445709577</v>
      </c>
      <c r="F15">
        <f>+reconciliación!F15*'datos instrumentos'!F$6</f>
        <v>77.264810569227052</v>
      </c>
      <c r="G15">
        <f>+reconciliación!G15*'datos instrumentos'!G$6</f>
        <v>576.69178975303157</v>
      </c>
      <c r="H15">
        <f>+reconciliación!H15*'datos instrumentos'!H$6</f>
        <v>1014.0791851610297</v>
      </c>
      <c r="I15">
        <f>+reconciliación!I15*'datos instrumentos'!I$6</f>
        <v>100.57097800511748</v>
      </c>
      <c r="J15">
        <f>+reconciliación!J15*'datos instrumentos'!J$6</f>
        <v>511.22429513544233</v>
      </c>
      <c r="K15">
        <f>+reconciliación!K15*'datos instrumentos'!K$6</f>
        <v>10.676195127665265</v>
      </c>
      <c r="L15">
        <f>+reconciliación!L15*'datos instrumentos'!L$6</f>
        <v>124.30529062315742</v>
      </c>
      <c r="M15">
        <f>+reconciliación!M15*'datos instrumentos'!M$6</f>
        <v>4013.3411442976635</v>
      </c>
    </row>
    <row r="16" spans="1:13" x14ac:dyDescent="0.25">
      <c r="B16">
        <f>+reconciliación!B16*'datos instrumentos'!B$6</f>
        <v>1469.7497563234103</v>
      </c>
      <c r="C16">
        <f>+reconciliación!C16*'datos instrumentos'!C$6</f>
        <v>391.08771921690794</v>
      </c>
      <c r="D16">
        <f>+reconciliación!D16*'datos instrumentos'!D$6</f>
        <v>6223.2812228781222</v>
      </c>
      <c r="E16">
        <f>+reconciliación!E16*'datos instrumentos'!E$6</f>
        <v>946.99949787765888</v>
      </c>
      <c r="F16">
        <f>+reconciliación!F16*'datos instrumentos'!F$6</f>
        <v>78.234837211717476</v>
      </c>
      <c r="G16">
        <f>+reconciliación!G16*'datos instrumentos'!G$6</f>
        <v>505.18615009511672</v>
      </c>
      <c r="H16">
        <f>+reconciliación!H16*'datos instrumentos'!H$6</f>
        <v>1132.6703703737912</v>
      </c>
      <c r="I16">
        <f>+reconciliación!I16*'datos instrumentos'!I$6</f>
        <v>119.68377183801267</v>
      </c>
      <c r="J16">
        <f>+reconciliación!J16*'datos instrumentos'!J$6</f>
        <v>534.25151118372776</v>
      </c>
      <c r="K16">
        <f>+reconciliación!K16*'datos instrumentos'!K$6</f>
        <v>7.5241236341234856</v>
      </c>
      <c r="L16">
        <f>+reconciliación!L16*'datos instrumentos'!L$6</f>
        <v>136.29033825984598</v>
      </c>
      <c r="M16">
        <f>+reconciliación!M16*'datos instrumentos'!M$6</f>
        <v>3949.4870588738509</v>
      </c>
    </row>
    <row r="17" spans="2:13" x14ac:dyDescent="0.25">
      <c r="B17">
        <f>+reconciliación!B17*'datos instrumentos'!B$6</f>
        <v>1354.0053405252165</v>
      </c>
      <c r="C17">
        <f>+reconciliación!C17*'datos instrumentos'!C$6</f>
        <v>394.11493178552922</v>
      </c>
      <c r="D17">
        <f>+reconciliación!D17*'datos instrumentos'!D$6</f>
        <v>5523.1661033962182</v>
      </c>
      <c r="E17">
        <f>+reconciliación!E17*'datos instrumentos'!E$6</f>
        <v>869.04476772257976</v>
      </c>
      <c r="F17">
        <f>+reconciliación!F17*'datos instrumentos'!F$6</f>
        <v>61.910292892650155</v>
      </c>
      <c r="G17">
        <f>+reconciliación!G17*'datos instrumentos'!G$6</f>
        <v>556.00931526119177</v>
      </c>
      <c r="H17">
        <f>+reconciliación!H17*'datos instrumentos'!H$6</f>
        <v>1179.7002511896105</v>
      </c>
      <c r="I17">
        <f>+reconciliación!I17*'datos instrumentos'!I$6</f>
        <v>132.67358346225964</v>
      </c>
      <c r="J17">
        <f>+reconciliación!J17*'datos instrumentos'!J$6</f>
        <v>516.33233387831206</v>
      </c>
      <c r="K17">
        <f>+reconciliación!K17*'datos instrumentos'!K$6</f>
        <v>6.0261788214333123</v>
      </c>
      <c r="L17">
        <f>+reconciliación!L17*'datos instrumentos'!L$6</f>
        <v>136.79357983786937</v>
      </c>
      <c r="M17">
        <f>+reconciliación!M17*'datos instrumentos'!M$6</f>
        <v>4231.4692954657849</v>
      </c>
    </row>
    <row r="18" spans="2:13" x14ac:dyDescent="0.25">
      <c r="B18">
        <f>+reconciliación!B18*'datos instrumentos'!B$6</f>
        <v>1276.8924841052381</v>
      </c>
      <c r="C18">
        <f>+reconciliación!C18*'datos instrumentos'!C$6</f>
        <v>393.03440513679681</v>
      </c>
      <c r="D18">
        <f>+reconciliación!D18*'datos instrumentos'!D$6</f>
        <v>5087.240784526497</v>
      </c>
      <c r="E18">
        <f>+reconciliación!E18*'datos instrumentos'!E$6</f>
        <v>797.06259490198443</v>
      </c>
      <c r="F18">
        <f>+reconciliación!F18*'datos instrumentos'!F$6</f>
        <v>58.450801697007854</v>
      </c>
      <c r="G18">
        <f>+reconciliación!G18*'datos instrumentos'!G$6</f>
        <v>734.26055683881816</v>
      </c>
      <c r="H18">
        <f>+reconciliación!H18*'datos instrumentos'!H$6</f>
        <v>1063.5872329975837</v>
      </c>
      <c r="I18">
        <f>+reconciliación!I18*'datos instrumentos'!I$6</f>
        <v>119.30263953248023</v>
      </c>
      <c r="J18">
        <f>+reconciliación!J18*'datos instrumentos'!J$6</f>
        <v>467.07403533518254</v>
      </c>
      <c r="K18">
        <f>+reconciliación!K18*'datos instrumentos'!K$6</f>
        <v>5.2473616809041737</v>
      </c>
      <c r="L18">
        <f>+reconciliación!L18*'datos instrumentos'!L$6</f>
        <v>131.77397464051151</v>
      </c>
      <c r="M18">
        <f>+reconciliación!M18*'datos instrumentos'!M$6</f>
        <v>4695.4414032142486</v>
      </c>
    </row>
    <row r="19" spans="2:13" x14ac:dyDescent="0.25">
      <c r="B19">
        <f>+reconciliación!B19*'datos instrumentos'!B$6</f>
        <v>1216.1631459650978</v>
      </c>
      <c r="C19">
        <f>+reconciliación!C19*'datos instrumentos'!C$6</f>
        <v>384.74196637095855</v>
      </c>
      <c r="D19">
        <f>+reconciliación!D19*'datos instrumentos'!D$6</f>
        <v>4760.5253028772458</v>
      </c>
      <c r="E19">
        <f>+reconciliación!E19*'datos instrumentos'!E$6</f>
        <v>794.07578761483103</v>
      </c>
      <c r="F19">
        <f>+reconciliación!F19*'datos instrumentos'!F$6</f>
        <v>22.98265765553273</v>
      </c>
      <c r="G19">
        <f>+reconciliación!G19*'datos instrumentos'!G$6</f>
        <v>785.98509004696962</v>
      </c>
      <c r="H19">
        <f>+reconciliación!H19*'datos instrumentos'!H$6</f>
        <v>937.39895734377683</v>
      </c>
      <c r="I19">
        <f>+reconciliación!I19*'datos instrumentos'!I$6</f>
        <v>110.98956535119555</v>
      </c>
      <c r="J19">
        <f>+reconciliación!J19*'datos instrumentos'!J$6</f>
        <v>382.45113058779913</v>
      </c>
      <c r="K19">
        <f>+reconciliación!K19*'datos instrumentos'!K$6</f>
        <v>6.2759951820168975</v>
      </c>
      <c r="L19">
        <f>+reconciliación!L19*'datos instrumentos'!L$6</f>
        <v>108.48200525006034</v>
      </c>
      <c r="M19">
        <f>+reconciliación!M19*'datos instrumentos'!M$6</f>
        <v>4946.2948301754723</v>
      </c>
    </row>
    <row r="20" spans="2:13" x14ac:dyDescent="0.25">
      <c r="B20">
        <f>+reconciliación!B20*'datos instrumentos'!B$6</f>
        <v>1152.3956834413095</v>
      </c>
      <c r="C20">
        <f>+reconciliación!C20*'datos instrumentos'!C$6</f>
        <v>376.51930330117068</v>
      </c>
      <c r="D20">
        <f>+reconciliación!D20*'datos instrumentos'!D$6</f>
        <v>4421.5480087160477</v>
      </c>
      <c r="E20">
        <f>+reconciliación!E20*'datos instrumentos'!E$6</f>
        <v>737.5588168247034</v>
      </c>
      <c r="F20">
        <f>+reconciliación!F20*'datos instrumentos'!F$6</f>
        <v>13.145856007292064</v>
      </c>
      <c r="G20">
        <f>+reconciliación!G20*'datos instrumentos'!G$6</f>
        <v>742.77135212737369</v>
      </c>
      <c r="H20">
        <f>+reconciliación!H20*'datos instrumentos'!H$6</f>
        <v>1024.4594736340212</v>
      </c>
      <c r="I20">
        <f>+reconciliación!I20*'datos instrumentos'!I$6</f>
        <v>116.14956870630552</v>
      </c>
      <c r="J20">
        <f>+reconciliación!J20*'datos instrumentos'!J$6</f>
        <v>443.71163010249342</v>
      </c>
      <c r="K20">
        <f>+reconciliación!K20*'datos instrumentos'!K$6</f>
        <v>5.2291390625823855</v>
      </c>
      <c r="L20">
        <f>+reconciliación!L20*'datos instrumentos'!L$6</f>
        <v>125.28452677225678</v>
      </c>
      <c r="M20">
        <f>+reconciliación!M20*'datos instrumentos'!M$6</f>
        <v>5434.9261178027664</v>
      </c>
    </row>
    <row r="21" spans="2:13" x14ac:dyDescent="0.25">
      <c r="B21">
        <f>+reconciliación!B21*'datos instrumentos'!B$6</f>
        <v>1319.8385245639049</v>
      </c>
      <c r="C21">
        <f>+reconciliación!C21*'datos instrumentos'!C$6</f>
        <v>406.2589113967249</v>
      </c>
      <c r="D21">
        <f>+reconciliación!D21*'datos instrumentos'!D$6</f>
        <v>5220.3107872138462</v>
      </c>
      <c r="E21">
        <f>+reconciliación!E21*'datos instrumentos'!E$6</f>
        <v>816.42066712849498</v>
      </c>
      <c r="F21">
        <f>+reconciliación!F21*'datos instrumentos'!F$6</f>
        <v>56.41919449050792</v>
      </c>
      <c r="G21">
        <f>+reconciliación!G21*'datos instrumentos'!G$6</f>
        <v>701.75634839568897</v>
      </c>
      <c r="H21">
        <f>+reconciliación!H21*'datos instrumentos'!H$6</f>
        <v>1037.7943880995063</v>
      </c>
      <c r="I21">
        <f>+reconciliación!I21*'datos instrumentos'!I$6</f>
        <v>118.11820760507257</v>
      </c>
      <c r="J21">
        <f>+reconciliación!J21*'datos instrumentos'!J$6</f>
        <v>447.20335007414343</v>
      </c>
      <c r="K21">
        <f>+reconciliación!K21*'datos instrumentos'!K$6</f>
        <v>3.9547493374922351</v>
      </c>
      <c r="L21">
        <f>+reconciliación!L21*'datos instrumentos'!L$6</f>
        <v>133.35257862900667</v>
      </c>
      <c r="M21">
        <f>+reconciliación!M21*'datos instrumentos'!M$6</f>
        <v>4545.136667448146</v>
      </c>
    </row>
    <row r="22" spans="2:13" x14ac:dyDescent="0.25">
      <c r="B22">
        <f>+reconciliación!B22*'datos instrumentos'!B$6</f>
        <v>1264.0926489914364</v>
      </c>
      <c r="C22">
        <f>+reconciliación!C22*'datos instrumentos'!C$6</f>
        <v>361.20959245856073</v>
      </c>
      <c r="D22">
        <f>+reconciliación!D22*'datos instrumentos'!D$6</f>
        <v>4896.5990444402023</v>
      </c>
      <c r="E22">
        <f>+reconciliación!E22*'datos instrumentos'!E$6</f>
        <v>777.59147894370085</v>
      </c>
      <c r="F22">
        <f>+reconciliación!F22*'datos instrumentos'!F$6</f>
        <v>52.554041722145676</v>
      </c>
      <c r="G22">
        <f>+reconciliación!G22*'datos instrumentos'!G$6</f>
        <v>719.37220969816019</v>
      </c>
      <c r="H22">
        <f>+reconciliación!H22*'datos instrumentos'!H$6</f>
        <v>1101.6236917833664</v>
      </c>
      <c r="I22">
        <f>+reconciliación!I22*'datos instrumentos'!I$6</f>
        <v>121.32558988592025</v>
      </c>
      <c r="J22">
        <f>+reconciliación!J22*'datos instrumentos'!J$6</f>
        <v>494.99574235376508</v>
      </c>
      <c r="K22">
        <f>+reconciliación!K22*'datos instrumentos'!K$6</f>
        <v>9.2718516938656617</v>
      </c>
      <c r="L22">
        <f>+reconciliación!L22*'datos instrumentos'!L$6</f>
        <v>120.95234171667262</v>
      </c>
      <c r="M22">
        <f>+reconciliación!M22*'datos instrumentos'!M$6</f>
        <v>4792.4912475511519</v>
      </c>
    </row>
    <row r="23" spans="2:13" x14ac:dyDescent="0.25">
      <c r="B23">
        <f>+reconciliación!B23*'datos instrumentos'!B$6</f>
        <v>1221.5869277433153</v>
      </c>
      <c r="C23">
        <f>+reconciliación!C23*'datos instrumentos'!C$6</f>
        <v>311.87719277606203</v>
      </c>
      <c r="D23">
        <f>+reconciliación!D23*'datos instrumentos'!D$6</f>
        <v>5204.3805774105231</v>
      </c>
      <c r="E23">
        <f>+reconciliación!E23*'datos instrumentos'!E$6</f>
        <v>810.86239214940463</v>
      </c>
      <c r="F23">
        <f>+reconciliación!F23*'datos instrumentos'!F$6</f>
        <v>53.784286704100751</v>
      </c>
      <c r="G23">
        <f>+reconciliación!G23*'datos instrumentos'!G$6</f>
        <v>741.49003301890264</v>
      </c>
      <c r="H23">
        <f>+reconciliación!H23*'datos instrumentos'!H$6</f>
        <v>1292.1152968306487</v>
      </c>
      <c r="I23">
        <f>+reconciliación!I23*'datos instrumentos'!I$6</f>
        <v>122.34476829449693</v>
      </c>
      <c r="J23">
        <f>+reconciliación!J23*'datos instrumentos'!J$6</f>
        <v>680.39145535816385</v>
      </c>
      <c r="K23">
        <f>+reconciliación!K23*'datos instrumentos'!K$6</f>
        <v>9.3045377685487551</v>
      </c>
      <c r="L23">
        <f>+reconciliación!L23*'datos instrumentos'!L$6</f>
        <v>164.88964078391834</v>
      </c>
      <c r="M23">
        <f>+reconciliación!M23*'datos instrumentos'!M$6</f>
        <v>5031.5095354345149</v>
      </c>
    </row>
    <row r="24" spans="2:13" x14ac:dyDescent="0.25">
      <c r="B24">
        <f>+reconciliación!B24*'datos instrumentos'!B$6</f>
        <v>1539.1985901845358</v>
      </c>
      <c r="C24">
        <f>+reconciliación!C24*'datos instrumentos'!C$6</f>
        <v>361.5032102752611</v>
      </c>
      <c r="D24">
        <f>+reconciliación!D24*'datos instrumentos'!D$6</f>
        <v>6833.4870591920353</v>
      </c>
      <c r="E24">
        <f>+reconciliación!E24*'datos instrumentos'!E$6</f>
        <v>985.61411429833095</v>
      </c>
      <c r="F24">
        <f>+reconciliación!F24*'datos instrumentos'!F$6</f>
        <v>117.56195228732091</v>
      </c>
      <c r="G24">
        <f>+reconciliación!G24*'datos instrumentos'!G$6</f>
        <v>411.18535603088429</v>
      </c>
      <c r="H24">
        <f>+reconciliación!H24*'datos instrumentos'!H$6</f>
        <v>1191.4899322315907</v>
      </c>
      <c r="I24">
        <f>+reconciliación!I24*'datos instrumentos'!I$6</f>
        <v>121.66057832930042</v>
      </c>
      <c r="J24">
        <f>+reconciliación!J24*'datos instrumentos'!J$6</f>
        <v>583.18704058508854</v>
      </c>
      <c r="K24">
        <f>+reconciliación!K24*'datos instrumentos'!K$6</f>
        <v>5.9295823662703873</v>
      </c>
      <c r="L24">
        <f>+reconciliación!L24*'datos instrumentos'!L$6</f>
        <v>156.62998766994431</v>
      </c>
      <c r="M24">
        <f>+reconciliación!M24*'datos instrumentos'!M$6</f>
        <v>3116.7593109811478</v>
      </c>
    </row>
    <row r="25" spans="2:13" x14ac:dyDescent="0.25">
      <c r="B25">
        <f>+reconciliación!B25*'datos instrumentos'!B$6</f>
        <v>1523.7435140245796</v>
      </c>
      <c r="C25">
        <f>+reconciliación!C25*'datos instrumentos'!C$6</f>
        <v>371.16212306686566</v>
      </c>
      <c r="D25">
        <f>+reconciliación!D25*'datos instrumentos'!D$6</f>
        <v>6680.530985520536</v>
      </c>
      <c r="E25">
        <f>+reconciliación!E25*'datos instrumentos'!E$6</f>
        <v>981.84699886842941</v>
      </c>
      <c r="F25">
        <f>+reconciliación!F25*'datos instrumentos'!F$6</f>
        <v>105.68443543483302</v>
      </c>
      <c r="G25">
        <f>+reconciliación!G25*'datos instrumentos'!G$6</f>
        <v>316.62075292890165</v>
      </c>
      <c r="H25">
        <f>+reconciliación!H25*'datos instrumentos'!H$6</f>
        <v>1000.3268975337677</v>
      </c>
      <c r="I25">
        <f>+reconciliación!I25*'datos instrumentos'!I$6</f>
        <v>109.91576818429145</v>
      </c>
      <c r="J25">
        <f>+reconciliación!J25*'datos instrumentos'!J$6</f>
        <v>450.74805661231039</v>
      </c>
      <c r="K25">
        <f>+reconciliación!K25*'datos instrumentos'!K$6</f>
        <v>4.2032387480624021</v>
      </c>
      <c r="L25">
        <f>+reconciliación!L25*'datos instrumentos'!L$6</f>
        <v>135.81471235765693</v>
      </c>
      <c r="M25">
        <f>+reconciliación!M25*'datos instrumentos'!M$6</f>
        <v>2834.2103202013036</v>
      </c>
    </row>
    <row r="26" spans="2:13" x14ac:dyDescent="0.25">
      <c r="B26">
        <f>+reconciliación!B26*'datos instrumentos'!B$6</f>
        <v>1486.5447459307788</v>
      </c>
      <c r="C26">
        <f>+reconciliación!C26*'datos instrumentos'!C$6</f>
        <v>367.78427522275314</v>
      </c>
      <c r="D26">
        <f>+reconciliación!D26*'datos instrumentos'!D$6</f>
        <v>6487.6135958464329</v>
      </c>
      <c r="E26">
        <f>+reconciliación!E26*'datos instrumentos'!E$6</f>
        <v>965.64779664045545</v>
      </c>
      <c r="F26">
        <f>+reconciliación!F26*'datos instrumentos'!F$6</f>
        <v>95.023503785441932</v>
      </c>
      <c r="G26">
        <f>+reconciliación!G26*'datos instrumentos'!G$6</f>
        <v>380.97997380771136</v>
      </c>
      <c r="H26">
        <f>+reconciliación!H26*'datos instrumentos'!H$6</f>
        <v>1006.7076212523527</v>
      </c>
      <c r="I26">
        <f>+reconciliación!I26*'datos instrumentos'!I$6</f>
        <v>108.88981732782548</v>
      </c>
      <c r="J26">
        <f>+reconciliación!J26*'datos instrumentos'!J$6</f>
        <v>462.25853461322532</v>
      </c>
      <c r="K26">
        <f>+reconciliación!K26*'datos instrumentos'!K$6</f>
        <v>4.9851972707572791</v>
      </c>
      <c r="L26">
        <f>+reconciliación!L26*'datos instrumentos'!L$6</f>
        <v>135.39821345946001</v>
      </c>
      <c r="M26">
        <f>+reconciliación!M26*'datos instrumentos'!M$6</f>
        <v>2969.4131034019128</v>
      </c>
    </row>
    <row r="27" spans="2:13" x14ac:dyDescent="0.25">
      <c r="B27">
        <f>+reconciliación!B27*'datos instrumentos'!B$6</f>
        <v>1416.0928468837935</v>
      </c>
      <c r="C27">
        <f>+reconciliación!C27*'datos instrumentos'!C$6</f>
        <v>372.16083535158646</v>
      </c>
      <c r="D27">
        <f>+reconciliación!D27*'datos instrumentos'!D$6</f>
        <v>6069.4653856344721</v>
      </c>
      <c r="E27">
        <f>+reconciliación!E27*'datos instrumentos'!E$6</f>
        <v>896.10768204406884</v>
      </c>
      <c r="F27">
        <f>+reconciliación!F27*'datos instrumentos'!F$6</f>
        <v>96.056047734463405</v>
      </c>
      <c r="G27">
        <f>+reconciliación!G27*'datos instrumentos'!G$6</f>
        <v>360.75086013579414</v>
      </c>
      <c r="H27">
        <f>+reconciliación!H27*'datos instrumentos'!H$6</f>
        <v>1277.1310167338174</v>
      </c>
      <c r="I27">
        <f>+reconciliación!I27*'datos instrumentos'!I$6</f>
        <v>124.72910609843738</v>
      </c>
      <c r="J27">
        <f>+reconciliación!J27*'datos instrumentos'!J$6</f>
        <v>653.4854862416305</v>
      </c>
      <c r="K27">
        <f>+reconciliación!K27*'datos instrumentos'!K$6</f>
        <v>7.0894083158289867</v>
      </c>
      <c r="L27">
        <f>+reconciliación!L27*'datos instrumentos'!L$6</f>
        <v>165.80149024019485</v>
      </c>
      <c r="M27">
        <f>+reconciliación!M27*'datos instrumentos'!M$6</f>
        <v>3391.6653863760425</v>
      </c>
    </row>
    <row r="28" spans="2:13" x14ac:dyDescent="0.25">
      <c r="B28">
        <f>+reconciliación!B28*'datos instrumentos'!B$6</f>
        <v>1395.4504416467914</v>
      </c>
      <c r="C28">
        <f>+reconciliación!C28*'datos instrumentos'!C$6</f>
        <v>363.20247132358463</v>
      </c>
      <c r="D28">
        <f>+reconciliación!D28*'datos instrumentos'!D$6</f>
        <v>5991.0375364177708</v>
      </c>
      <c r="E28">
        <f>+reconciliación!E28*'datos instrumentos'!E$6</f>
        <v>887.46192641925404</v>
      </c>
      <c r="F28">
        <f>+reconciliación!F28*'datos instrumentos'!F$6</f>
        <v>91.400006478973324</v>
      </c>
      <c r="G28">
        <f>+reconciliación!G28*'datos instrumentos'!G$6</f>
        <v>489.09433165023358</v>
      </c>
      <c r="H28">
        <f>+reconciliación!H28*'datos instrumentos'!H$6</f>
        <v>1171.1246152507936</v>
      </c>
      <c r="I28">
        <f>+reconciliación!I28*'datos instrumentos'!I$6</f>
        <v>102.82057585384129</v>
      </c>
      <c r="J28">
        <f>+reconciliación!J28*'datos instrumentos'!J$6</f>
        <v>657.02173598158731</v>
      </c>
      <c r="K28">
        <f>+reconciliación!K28*'datos instrumentos'!K$6</f>
        <v>9.3293557647806065</v>
      </c>
      <c r="L28">
        <f>+reconciliación!L28*'datos instrumentos'!L$6</f>
        <v>161.75999947389394</v>
      </c>
      <c r="M28">
        <f>+reconciliación!M28*'datos instrumentos'!M$6</f>
        <v>3410.130879988064</v>
      </c>
    </row>
    <row r="29" spans="2:13" x14ac:dyDescent="0.25">
      <c r="B29">
        <f>+reconciliación!B29*'datos instrumentos'!B$6</f>
        <v>1399.5625230538424</v>
      </c>
      <c r="C29">
        <f>+reconciliación!C29*'datos instrumentos'!C$6</f>
        <v>380.96905951643339</v>
      </c>
      <c r="D29">
        <f>+reconciliación!D29*'datos instrumentos'!D$6</f>
        <v>5924.5952875119992</v>
      </c>
      <c r="E29">
        <f>+reconciliación!E29*'datos instrumentos'!E$6</f>
        <v>866.99673826959179</v>
      </c>
      <c r="F29">
        <f>+reconciliación!F29*'datos instrumentos'!F$6</f>
        <v>99.953654513308948</v>
      </c>
      <c r="G29">
        <f>+reconciliación!G29*'datos instrumentos'!G$6</f>
        <v>245.26523432679696</v>
      </c>
      <c r="H29">
        <f>+reconciliación!H29*'datos instrumentos'!H$6</f>
        <v>956.94300285051122</v>
      </c>
      <c r="I29">
        <f>+reconciliación!I29*'datos instrumentos'!I$6</f>
        <v>108.32020150350735</v>
      </c>
      <c r="J29">
        <f>+reconciliación!J29*'datos instrumentos'!J$6</f>
        <v>415.34199533297453</v>
      </c>
      <c r="K29">
        <f>+reconciliación!K29*'datos instrumentos'!K$6</f>
        <v>5.1982219259364335</v>
      </c>
      <c r="L29">
        <f>+reconciliación!L29*'datos instrumentos'!L$6</f>
        <v>128.82365237886006</v>
      </c>
      <c r="M29">
        <f>+reconciliación!M29*'datos instrumentos'!M$6</f>
        <v>2806.0685865163032</v>
      </c>
    </row>
    <row r="30" spans="2:13" x14ac:dyDescent="0.25">
      <c r="B30">
        <f>+reconciliación!B30*'datos instrumentos'!B$6</f>
        <v>1066.3829780628364</v>
      </c>
      <c r="C30">
        <f>+reconciliación!C30*'datos instrumentos'!C$6</f>
        <v>416.77031841868887</v>
      </c>
      <c r="D30">
        <f>+reconciliación!D30*'datos instrumentos'!D$6</f>
        <v>3814.7107129064025</v>
      </c>
      <c r="E30">
        <f>+reconciliación!E30*'datos instrumentos'!E$6</f>
        <v>672.52232502095728</v>
      </c>
      <c r="F30">
        <f>+reconciliación!F30*'datos instrumentos'!F$6</f>
        <v>7.8943353812979158</v>
      </c>
      <c r="G30">
        <f>+reconciliación!G30*'datos instrumentos'!G$6</f>
        <v>618.82881886818598</v>
      </c>
      <c r="H30">
        <f>+reconciliación!H30*'datos instrumentos'!H$6</f>
        <v>882.8474418357506</v>
      </c>
      <c r="I30">
        <f>+reconciliación!I30*'datos instrumentos'!I$6</f>
        <v>104.10044178417532</v>
      </c>
      <c r="J30">
        <f>+reconciliación!J30*'datos instrumentos'!J$6</f>
        <v>362.34523291487403</v>
      </c>
      <c r="K30">
        <f>+reconciliación!K30*'datos instrumentos'!K$6</f>
        <v>6.9305302238807744</v>
      </c>
      <c r="L30">
        <f>+reconciliación!L30*'datos instrumentos'!L$6</f>
        <v>94.93514614539545</v>
      </c>
      <c r="M30">
        <f>+reconciliación!M30*'datos instrumentos'!M$6</f>
        <v>4553.3540974872576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235AC-B847-498E-A0AD-4871F80889D2}">
  <sheetPr codeName="Hoja2"/>
  <dimension ref="A1:BD36"/>
  <sheetViews>
    <sheetView tabSelected="1" topLeftCell="AH1" zoomScale="85" zoomScaleNormal="85" workbookViewId="0">
      <selection activeCell="AQ9" sqref="AQ9"/>
    </sheetView>
  </sheetViews>
  <sheetFormatPr defaultColWidth="11.42578125" defaultRowHeight="15" x14ac:dyDescent="0.25"/>
  <cols>
    <col min="2" max="5" width="7.140625" style="3" customWidth="1"/>
    <col min="6" max="6" width="12" style="3" bestFit="1" customWidth="1"/>
    <col min="7" max="13" width="7.140625" style="3" customWidth="1"/>
    <col min="14" max="25" width="7.28515625" customWidth="1"/>
    <col min="26" max="27" width="11.42578125" style="5"/>
    <col min="28" max="28" width="15.5703125" style="5" bestFit="1" customWidth="1"/>
    <col min="29" max="30" width="11.42578125" style="5"/>
    <col min="31" max="42" width="11.42578125" style="7"/>
    <col min="43" max="43" width="11.42578125" style="8"/>
    <col min="44" max="55" width="11.42578125" style="7"/>
    <col min="56" max="56" width="18.42578125" bestFit="1" customWidth="1"/>
  </cols>
  <sheetData>
    <row r="1" spans="1:56" x14ac:dyDescent="0.25">
      <c r="B1" s="25" t="s">
        <v>20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7" t="s">
        <v>21</v>
      </c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9" t="s">
        <v>22</v>
      </c>
      <c r="AA1" s="28"/>
      <c r="AB1" s="28"/>
      <c r="AC1" s="28"/>
      <c r="AD1" s="28"/>
      <c r="AE1" s="30" t="s">
        <v>23</v>
      </c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8" t="s">
        <v>24</v>
      </c>
      <c r="AR1" s="30" t="s">
        <v>29</v>
      </c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</row>
    <row r="2" spans="1:56" x14ac:dyDescent="0.25">
      <c r="B2" s="3">
        <v>40</v>
      </c>
      <c r="C2" s="3">
        <v>41</v>
      </c>
      <c r="D2" s="3">
        <v>42</v>
      </c>
      <c r="E2" s="3">
        <v>43</v>
      </c>
      <c r="F2" s="3">
        <v>44</v>
      </c>
      <c r="G2" s="3">
        <v>45</v>
      </c>
      <c r="H2" s="3">
        <v>46</v>
      </c>
      <c r="I2" s="3">
        <v>47</v>
      </c>
      <c r="J2" s="3">
        <v>48</v>
      </c>
      <c r="K2" s="3">
        <v>49</v>
      </c>
      <c r="L2" s="3">
        <v>50</v>
      </c>
      <c r="M2" s="3">
        <v>20</v>
      </c>
      <c r="N2" s="4">
        <v>40</v>
      </c>
      <c r="O2" s="4">
        <v>41</v>
      </c>
      <c r="P2" s="4">
        <v>42</v>
      </c>
      <c r="Q2" s="4">
        <v>43</v>
      </c>
      <c r="R2" s="4">
        <v>44</v>
      </c>
      <c r="S2" s="4">
        <v>45</v>
      </c>
      <c r="T2" s="4">
        <v>46</v>
      </c>
      <c r="U2" s="4">
        <v>47</v>
      </c>
      <c r="V2" s="4">
        <v>48</v>
      </c>
      <c r="W2" s="4">
        <v>49</v>
      </c>
      <c r="X2" s="4">
        <v>50</v>
      </c>
      <c r="Y2" s="4">
        <v>20</v>
      </c>
      <c r="Z2" s="6" t="s">
        <v>13</v>
      </c>
      <c r="AA2" s="5" t="s">
        <v>15</v>
      </c>
      <c r="AB2" s="5" t="s">
        <v>36</v>
      </c>
      <c r="AC2" s="5" t="s">
        <v>18</v>
      </c>
      <c r="AD2" s="5" t="s">
        <v>19</v>
      </c>
      <c r="AE2" s="7">
        <v>40</v>
      </c>
      <c r="AF2" s="7">
        <v>41</v>
      </c>
      <c r="AG2" s="7">
        <v>42</v>
      </c>
      <c r="AH2" s="7">
        <v>43</v>
      </c>
      <c r="AI2" s="7">
        <v>44</v>
      </c>
      <c r="AJ2" s="7">
        <v>45</v>
      </c>
      <c r="AK2" s="7">
        <v>46</v>
      </c>
      <c r="AL2" s="7">
        <v>47</v>
      </c>
      <c r="AM2" s="7">
        <v>48</v>
      </c>
      <c r="AN2" s="7">
        <v>49</v>
      </c>
      <c r="AO2" s="7">
        <v>50</v>
      </c>
      <c r="AP2" s="7">
        <v>20</v>
      </c>
      <c r="AR2" s="7">
        <v>40</v>
      </c>
      <c r="AS2" s="7">
        <v>41</v>
      </c>
      <c r="AT2" s="7">
        <v>42</v>
      </c>
      <c r="AU2" s="7">
        <v>43</v>
      </c>
      <c r="AV2" s="7">
        <v>44</v>
      </c>
      <c r="AW2" s="7">
        <v>45</v>
      </c>
      <c r="AX2" s="7">
        <v>46</v>
      </c>
      <c r="AY2" s="7">
        <v>47</v>
      </c>
      <c r="AZ2" s="7">
        <v>48</v>
      </c>
      <c r="BA2" s="7">
        <v>49</v>
      </c>
      <c r="BB2" s="7">
        <v>50</v>
      </c>
      <c r="BC2" s="7">
        <v>20</v>
      </c>
    </row>
    <row r="3" spans="1:56" x14ac:dyDescent="0.25">
      <c r="A3" t="s">
        <v>33</v>
      </c>
      <c r="B3" s="3" t="s">
        <v>0</v>
      </c>
      <c r="C3" s="3" t="s">
        <v>1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19" t="s">
        <v>8</v>
      </c>
      <c r="K3" s="19" t="s">
        <v>9</v>
      </c>
      <c r="L3" s="19" t="s">
        <v>10</v>
      </c>
      <c r="M3" s="3" t="s">
        <v>11</v>
      </c>
      <c r="N3" s="4" t="s">
        <v>0</v>
      </c>
      <c r="O3" s="4" t="s">
        <v>1</v>
      </c>
      <c r="P3" s="4" t="s">
        <v>2</v>
      </c>
      <c r="Q3" s="4" t="s">
        <v>3</v>
      </c>
      <c r="R3" s="4" t="s">
        <v>4</v>
      </c>
      <c r="S3" s="4" t="s">
        <v>5</v>
      </c>
      <c r="T3" s="4" t="s">
        <v>6</v>
      </c>
      <c r="U3" s="4" t="s">
        <v>7</v>
      </c>
      <c r="V3" s="4" t="s">
        <v>8</v>
      </c>
      <c r="W3" s="4" t="s">
        <v>9</v>
      </c>
      <c r="X3" s="4" t="s">
        <v>10</v>
      </c>
      <c r="Y3" s="4" t="s">
        <v>11</v>
      </c>
      <c r="Z3" s="5" t="s">
        <v>12</v>
      </c>
      <c r="AA3" s="5" t="s">
        <v>14</v>
      </c>
      <c r="AB3" s="5" t="s">
        <v>35</v>
      </c>
      <c r="AC3" s="5" t="s">
        <v>16</v>
      </c>
      <c r="AD3" s="5" t="s">
        <v>17</v>
      </c>
      <c r="AE3" s="7" t="s">
        <v>0</v>
      </c>
      <c r="AF3" s="7" t="s">
        <v>1</v>
      </c>
      <c r="AG3" s="7" t="s">
        <v>2</v>
      </c>
      <c r="AH3" s="7" t="s">
        <v>3</v>
      </c>
      <c r="AI3" s="7" t="s">
        <v>4</v>
      </c>
      <c r="AJ3" s="7" t="s">
        <v>5</v>
      </c>
      <c r="AK3" s="7" t="s">
        <v>6</v>
      </c>
      <c r="AL3" s="7" t="s">
        <v>7</v>
      </c>
      <c r="AM3" s="7" t="s">
        <v>8</v>
      </c>
      <c r="AN3" s="7" t="s">
        <v>9</v>
      </c>
      <c r="AO3" s="7" t="s">
        <v>10</v>
      </c>
      <c r="AP3" s="7" t="s">
        <v>11</v>
      </c>
      <c r="AR3" s="7" t="s">
        <v>0</v>
      </c>
      <c r="AS3" s="7" t="s">
        <v>1</v>
      </c>
      <c r="AT3" s="7" t="s">
        <v>2</v>
      </c>
      <c r="AU3" s="7" t="s">
        <v>3</v>
      </c>
      <c r="AV3" s="7" t="s">
        <v>4</v>
      </c>
      <c r="AW3" s="7" t="s">
        <v>5</v>
      </c>
      <c r="AX3" s="7" t="s">
        <v>6</v>
      </c>
      <c r="AY3" s="7" t="s">
        <v>7</v>
      </c>
      <c r="AZ3" s="7" t="s">
        <v>8</v>
      </c>
      <c r="BA3" s="7" t="s">
        <v>9</v>
      </c>
      <c r="BB3" s="7" t="s">
        <v>10</v>
      </c>
      <c r="BC3" s="7" t="s">
        <v>11</v>
      </c>
      <c r="BD3" s="7" t="s">
        <v>34</v>
      </c>
    </row>
    <row r="4" spans="1:56" x14ac:dyDescent="0.25">
      <c r="A4">
        <v>1</v>
      </c>
      <c r="B4" s="3">
        <v>53319.148903141824</v>
      </c>
      <c r="C4" s="3">
        <v>20838.515920934442</v>
      </c>
      <c r="D4" s="3">
        <v>38147.107129064025</v>
      </c>
      <c r="E4" s="3">
        <v>33626.116251047861</v>
      </c>
      <c r="F4" s="3">
        <v>394.7167690648958</v>
      </c>
      <c r="G4" s="3">
        <v>30941.440943409296</v>
      </c>
      <c r="H4" s="3">
        <v>8828.4744183575058</v>
      </c>
      <c r="I4" s="3">
        <v>5205.0220892087655</v>
      </c>
      <c r="J4" s="3">
        <v>3623.4523291487403</v>
      </c>
      <c r="K4" s="3">
        <v>990.075746268682</v>
      </c>
      <c r="L4" s="3">
        <v>4746.7573072697724</v>
      </c>
      <c r="M4" s="3">
        <v>45533.540974872572</v>
      </c>
      <c r="N4">
        <v>54401.07745433379</v>
      </c>
      <c r="O4">
        <v>20673.260778216314</v>
      </c>
      <c r="P4">
        <v>33727.816676117494</v>
      </c>
      <c r="Q4">
        <v>33333.153140945746</v>
      </c>
      <c r="R4">
        <v>394.66353517174974</v>
      </c>
      <c r="S4">
        <v>31018.075298757132</v>
      </c>
      <c r="T4">
        <v>10761.391703169489</v>
      </c>
      <c r="U4">
        <v>5180.3131159460836</v>
      </c>
      <c r="V4">
        <v>5581.0785872234046</v>
      </c>
      <c r="W4">
        <v>989.25007534628935</v>
      </c>
      <c r="X4">
        <v>4591.8285118771155</v>
      </c>
      <c r="Y4">
        <v>41384.803467754871</v>
      </c>
      <c r="Z4" s="5">
        <f>N4-O4-P4</f>
        <v>0</v>
      </c>
      <c r="AA4" s="5">
        <f>P4-Q4-R4</f>
        <v>-1.0800249583553523E-12</v>
      </c>
      <c r="AB4" s="5">
        <f>R4+Y4-S4-T4</f>
        <v>9.9999851954635233E-7</v>
      </c>
      <c r="AC4" s="5">
        <f>T4-U4-V4</f>
        <v>0</v>
      </c>
      <c r="AD4" s="5">
        <f>V4-X4-W4</f>
        <v>0</v>
      </c>
      <c r="AE4" s="7">
        <f>((N4-B4)^2)/(Error!B4^2)</f>
        <v>1.0293682175779086</v>
      </c>
      <c r="AF4" s="7">
        <f>((O4-C4)^2)/(Error!C4^2)</f>
        <v>0.15722311754480525</v>
      </c>
      <c r="AG4" s="7">
        <f>((P4-D4)^2)/(Error!D4^2)</f>
        <v>1.3420907220452734</v>
      </c>
      <c r="AH4" s="7">
        <f>((Q4-E4)^2)/(Error!E4^2)</f>
        <v>0.18976340455506516</v>
      </c>
      <c r="AI4" s="7">
        <f>((R4-F4)^2)/(Error!F4^2)</f>
        <v>4.5472131397183011E-5</v>
      </c>
      <c r="AJ4" s="7">
        <f>((S4-G4)^2)/(Error!G4^2)</f>
        <v>1.5335783035605299E-2</v>
      </c>
      <c r="AK4" s="7">
        <f>((T4-H4)^2)/(Error!H4^2)</f>
        <v>4.7935273930658555</v>
      </c>
      <c r="AL4" s="7">
        <f>((U4-I4)^2)/(Error!I4^2)</f>
        <v>5.6338366891370152E-2</v>
      </c>
      <c r="AM4" s="7">
        <f>((V4-J4)^2)/(Error!J4^2)</f>
        <v>29.188680265967605</v>
      </c>
      <c r="AN4" s="7">
        <f>((W4-K4)^2)/(Error!K4^2)</f>
        <v>1.4193224003968616E-2</v>
      </c>
      <c r="AO4" s="7">
        <f>((X4-L4)^2)/(Error!L4^2)</f>
        <v>2.6632396119160213</v>
      </c>
      <c r="AP4" s="7">
        <f>((Y4-M4)^2)/(Error!M4^2)</f>
        <v>0.83017388035197204</v>
      </c>
      <c r="AQ4" s="8">
        <f>SUM(AE4:AP4)</f>
        <v>40.279979459086846</v>
      </c>
      <c r="AR4" s="7">
        <f t="shared" ref="AR4:AR10" si="0">+SQRT(AE4)*SIGN(B4-N4)</f>
        <v>-1.0145778519058597</v>
      </c>
      <c r="AS4" s="7">
        <f t="shared" ref="AS4:BC19" si="1">+SQRT(AF4)*SIGN(C4-O4)</f>
        <v>0.39651370410719128</v>
      </c>
      <c r="AT4" s="7">
        <f t="shared" si="1"/>
        <v>1.1584863926888711</v>
      </c>
      <c r="AU4" s="7">
        <f t="shared" si="1"/>
        <v>0.43561841622578945</v>
      </c>
      <c r="AV4" s="7">
        <f t="shared" si="1"/>
        <v>6.7433027069221064E-3</v>
      </c>
      <c r="AW4" s="7">
        <f t="shared" si="1"/>
        <v>-0.12383772864359754</v>
      </c>
      <c r="AX4" s="7">
        <f t="shared" si="1"/>
        <v>-2.1894125680341419</v>
      </c>
      <c r="AY4" s="7">
        <f t="shared" si="1"/>
        <v>0.23735704516902412</v>
      </c>
      <c r="AZ4" s="7">
        <f t="shared" si="1"/>
        <v>-5.4026549275303157</v>
      </c>
      <c r="BA4" s="7">
        <f t="shared" si="1"/>
        <v>0.11913531803780361</v>
      </c>
      <c r="BB4" s="7">
        <f t="shared" si="1"/>
        <v>1.6319435075749471</v>
      </c>
      <c r="BC4" s="7">
        <f t="shared" si="1"/>
        <v>0.91113878215778521</v>
      </c>
      <c r="BD4">
        <f>SUM(AE4:AP4)</f>
        <v>40.279979459086846</v>
      </c>
    </row>
    <row r="5" spans="1:56" x14ac:dyDescent="0.25">
      <c r="A5">
        <v>2</v>
      </c>
      <c r="B5" s="3">
        <v>97114.468631927783</v>
      </c>
      <c r="C5" s="3">
        <v>23156.916355768521</v>
      </c>
      <c r="D5" s="3">
        <v>86505.154392466764</v>
      </c>
      <c r="E5" s="3">
        <v>54693.706386284786</v>
      </c>
      <c r="F5" s="3">
        <v>10727.585836041586</v>
      </c>
      <c r="G5" s="3">
        <v>28086.132490065567</v>
      </c>
      <c r="H5" s="3">
        <v>11763.0632402826</v>
      </c>
      <c r="I5" s="3">
        <v>4997.6542421742806</v>
      </c>
      <c r="J5" s="3">
        <v>6765.4089981083189</v>
      </c>
      <c r="K5" s="3">
        <v>2087.1503817980029</v>
      </c>
      <c r="L5" s="3">
        <v>7149.0915409903464</v>
      </c>
      <c r="M5" s="3">
        <v>31234.629799804163</v>
      </c>
      <c r="N5">
        <v>91182.412444587884</v>
      </c>
      <c r="O5">
        <v>23494.302884908</v>
      </c>
      <c r="P5">
        <v>67688.109561132645</v>
      </c>
      <c r="Q5">
        <v>56876.077747567324</v>
      </c>
      <c r="R5">
        <v>10812.031769883815</v>
      </c>
      <c r="S5">
        <v>28082.695186421024</v>
      </c>
      <c r="T5">
        <v>14077.101906450847</v>
      </c>
      <c r="U5">
        <v>4980.8378334837644</v>
      </c>
      <c r="V5">
        <v>9096.2640726756763</v>
      </c>
      <c r="W5">
        <v>2085.7039877925195</v>
      </c>
      <c r="X5">
        <v>7010.5600855070797</v>
      </c>
      <c r="Y5">
        <v>31347.765325223478</v>
      </c>
      <c r="Z5" s="5">
        <f t="shared" ref="Z5:Z30" si="2">N5-O5-P5</f>
        <v>-1.4527613529935479E-6</v>
      </c>
      <c r="AA5" s="5">
        <f t="shared" ref="AA5:AA30" si="3">P5-Q5-R5</f>
        <v>4.3681506213033572E-5</v>
      </c>
      <c r="AB5" s="5">
        <f t="shared" ref="AB5:AB30" si="4">R5+Y5-S5-T5</f>
        <v>2.2354215616360307E-6</v>
      </c>
      <c r="AC5" s="5">
        <f t="shared" ref="AC5:AC30" si="5">T5-U5-V5</f>
        <v>2.914057404268533E-7</v>
      </c>
      <c r="AD5" s="5">
        <f t="shared" ref="AD5:AD30" si="6">V5-X5-W5</f>
        <v>-6.2392291511059739E-7</v>
      </c>
      <c r="AE5" s="7">
        <f>((N5-B5)^2)/(Error!B5^2)</f>
        <v>9.3278734203685154</v>
      </c>
      <c r="AF5" s="7">
        <f>((O5-C5)^2)/(Error!C5^2)</f>
        <v>0.53068160229220229</v>
      </c>
      <c r="AG5" s="7">
        <f>((P5-D5)^2)/(Error!D5^2)</f>
        <v>4.7317181560124677</v>
      </c>
      <c r="AH5" s="7">
        <f>((Q5-E5)^2)/(Error!E5^2)</f>
        <v>3.9803623230274305</v>
      </c>
      <c r="AI5" s="7">
        <f>((R5-F5)^2)/(Error!F5^2)</f>
        <v>0.1549150093824283</v>
      </c>
      <c r="AJ5" s="7">
        <f>((S5-G5)^2)/(Error!G5^2)</f>
        <v>3.7444835355981209E-5</v>
      </c>
      <c r="AK5" s="7">
        <f>((T5-H5)^2)/(Error!H5^2)</f>
        <v>3.8699054926900431</v>
      </c>
      <c r="AL5" s="7">
        <f>((U5-I5)^2)/(Error!I5^2)</f>
        <v>2.8305713233801561E-2</v>
      </c>
      <c r="AM5" s="7">
        <f>((V5-J5)^2)/(Error!J5^2)</f>
        <v>11.869773427002141</v>
      </c>
      <c r="AN5" s="7">
        <f>((W5-K5)^2)/(Error!K5^2)</f>
        <v>9.8009836138702854E-3</v>
      </c>
      <c r="AO5" s="7">
        <f>((X5-L5)^2)/(Error!L5^2)</f>
        <v>0.93871787316745858</v>
      </c>
      <c r="AP5" s="7">
        <f>((Y5-M5)^2)/(Error!M5^2)</f>
        <v>1.311974126393931E-3</v>
      </c>
      <c r="AQ5" s="8">
        <f t="shared" ref="AQ5:AQ8" si="7">SUM(AE5:AP5)</f>
        <v>35.443403419752109</v>
      </c>
      <c r="AR5" s="7">
        <f t="shared" si="0"/>
        <v>3.0541567445644495</v>
      </c>
      <c r="AS5" s="7">
        <f t="shared" si="1"/>
        <v>-0.72847896489342934</v>
      </c>
      <c r="AT5" s="7">
        <f t="shared" si="1"/>
        <v>2.1752512857167714</v>
      </c>
      <c r="AU5" s="7">
        <f t="shared" si="1"/>
        <v>-1.9950845403208934</v>
      </c>
      <c r="AV5" s="7">
        <f t="shared" si="1"/>
        <v>-0.3935924407079337</v>
      </c>
      <c r="AW5" s="7">
        <f t="shared" si="1"/>
        <v>6.1192185249410082E-3</v>
      </c>
      <c r="AX5" s="7">
        <f t="shared" si="1"/>
        <v>-1.9672075367611936</v>
      </c>
      <c r="AY5" s="7">
        <f t="shared" si="1"/>
        <v>0.16824301838056033</v>
      </c>
      <c r="AZ5" s="7">
        <f t="shared" si="1"/>
        <v>-3.4452537536445904</v>
      </c>
      <c r="BA5" s="7">
        <f t="shared" si="1"/>
        <v>9.8999917241734528E-2</v>
      </c>
      <c r="BB5" s="7">
        <f t="shared" si="1"/>
        <v>0.96887453943607094</v>
      </c>
      <c r="BC5" s="7">
        <f t="shared" si="1"/>
        <v>-3.6221183393063384E-2</v>
      </c>
    </row>
    <row r="6" spans="1:56" x14ac:dyDescent="0.25">
      <c r="A6">
        <v>3</v>
      </c>
      <c r="B6" s="3">
        <v>98251.226388813986</v>
      </c>
      <c r="C6" s="3">
        <v>23233.7218503738</v>
      </c>
      <c r="D6" s="3">
        <v>87744.420342052268</v>
      </c>
      <c r="E6" s="3">
        <v>58251.11004992856</v>
      </c>
      <c r="F6" s="3">
        <v>10325.96767340618</v>
      </c>
      <c r="G6" s="3">
        <v>27524.964427391958</v>
      </c>
      <c r="H6" s="3">
        <v>13317.340463330145</v>
      </c>
      <c r="I6" s="3">
        <v>5688.1608045493103</v>
      </c>
      <c r="J6" s="3">
        <v>7629.1796587808349</v>
      </c>
      <c r="K6" s="3">
        <v>2427.184288057013</v>
      </c>
      <c r="L6" s="3">
        <v>7653.9822089344561</v>
      </c>
      <c r="M6" s="3">
        <v>33282.063544013195</v>
      </c>
      <c r="N6">
        <v>93931.087672627313</v>
      </c>
      <c r="O6">
        <v>23475.207934847153</v>
      </c>
      <c r="P6">
        <v>70455.879757654489</v>
      </c>
      <c r="Q6">
        <v>60074.510158193938</v>
      </c>
      <c r="R6">
        <v>10381.369618468259</v>
      </c>
      <c r="S6">
        <v>27538.344816518646</v>
      </c>
      <c r="T6">
        <v>15628.351402373077</v>
      </c>
      <c r="U6">
        <v>5671.8902178230455</v>
      </c>
      <c r="V6">
        <v>9956.4611846050011</v>
      </c>
      <c r="W6">
        <v>2425.6666504119971</v>
      </c>
      <c r="X6">
        <v>7530.7945333982643</v>
      </c>
      <c r="Y6">
        <v>32785.326600695371</v>
      </c>
      <c r="Z6" s="5">
        <f t="shared" si="2"/>
        <v>-1.9874321878887713E-5</v>
      </c>
      <c r="AA6" s="5">
        <f t="shared" si="3"/>
        <v>-1.9007708033313975E-5</v>
      </c>
      <c r="AB6" s="5">
        <f t="shared" si="4"/>
        <v>2.7190435503143817E-7</v>
      </c>
      <c r="AC6" s="5">
        <f t="shared" si="5"/>
        <v>-5.4969859775155783E-8</v>
      </c>
      <c r="AD6" s="5">
        <f t="shared" si="6"/>
        <v>7.947396625240799E-7</v>
      </c>
      <c r="AE6" s="7">
        <f>((N6-B6)^2)/(Error!B6^2)</f>
        <v>4.833474507563885</v>
      </c>
      <c r="AF6" s="7">
        <f>((O6-C6)^2)/(Error!C6^2)</f>
        <v>0.27007641286507483</v>
      </c>
      <c r="AG6" s="7">
        <f>((P6-D6)^2)/(Error!D6^2)</f>
        <v>3.8821977090860744</v>
      </c>
      <c r="AH6" s="7">
        <f>((Q6-E6)^2)/(Error!E6^2)</f>
        <v>2.4496021218265573</v>
      </c>
      <c r="AI6" s="7">
        <f>((R6-F6)^2)/(Error!F6^2)</f>
        <v>7.1966189992811486E-2</v>
      </c>
      <c r="AJ6" s="7">
        <f>((S6-G6)^2)/(Error!G6^2)</f>
        <v>5.9077752267987314E-4</v>
      </c>
      <c r="AK6" s="7">
        <f>((T6-H6)^2)/(Error!H6^2)</f>
        <v>3.0114038186237786</v>
      </c>
      <c r="AL6" s="7">
        <f>((U6-I6)^2)/(Error!I6^2)</f>
        <v>2.0455151765685572E-2</v>
      </c>
      <c r="AM6" s="7">
        <f>((V6-J6)^2)/(Error!J6^2)</f>
        <v>9.3055524164724446</v>
      </c>
      <c r="AN6" s="7">
        <f>((W6-K6)^2)/(Error!K6^2)</f>
        <v>7.9787452173020364E-3</v>
      </c>
      <c r="AO6" s="7">
        <f>((X6-L6)^2)/(Error!L6^2)</f>
        <v>0.64758925292352798</v>
      </c>
      <c r="AP6" s="7">
        <f>((Y6-M6)^2)/(Error!M6^2)</f>
        <v>2.2275754874197182E-2</v>
      </c>
      <c r="AQ6" s="8">
        <f t="shared" si="7"/>
        <v>24.523162858734018</v>
      </c>
      <c r="AR6" s="7">
        <f t="shared" si="0"/>
        <v>2.1985164333167684</v>
      </c>
      <c r="AS6" s="7">
        <f t="shared" si="1"/>
        <v>-0.51968876538277675</v>
      </c>
      <c r="AT6" s="7">
        <f t="shared" si="1"/>
        <v>1.9703293402591544</v>
      </c>
      <c r="AU6" s="7">
        <f t="shared" si="1"/>
        <v>-1.5651204815689295</v>
      </c>
      <c r="AV6" s="7">
        <f t="shared" si="1"/>
        <v>-0.26826514867349333</v>
      </c>
      <c r="AW6" s="7">
        <f t="shared" si="1"/>
        <v>-2.4305915384528785E-2</v>
      </c>
      <c r="AX6" s="7">
        <f t="shared" si="1"/>
        <v>-1.735339683930434</v>
      </c>
      <c r="AY6" s="7">
        <f t="shared" si="1"/>
        <v>0.14302150805275957</v>
      </c>
      <c r="AZ6" s="7">
        <f t="shared" si="1"/>
        <v>-3.0505003551011831</v>
      </c>
      <c r="BA6" s="7">
        <f t="shared" si="1"/>
        <v>8.9323822227343336E-2</v>
      </c>
      <c r="BB6" s="7">
        <f t="shared" si="1"/>
        <v>0.80472930412874111</v>
      </c>
      <c r="BC6" s="7">
        <f t="shared" si="1"/>
        <v>0.14925064446828087</v>
      </c>
    </row>
    <row r="7" spans="1:56" x14ac:dyDescent="0.25">
      <c r="A7">
        <v>4</v>
      </c>
      <c r="B7" s="3">
        <v>98111.585566470632</v>
      </c>
      <c r="C7" s="3">
        <v>22788.293247432899</v>
      </c>
      <c r="D7" s="3">
        <v>88163.494840969419</v>
      </c>
      <c r="E7" s="3">
        <v>57913.06472088724</v>
      </c>
      <c r="F7" s="3">
        <v>9603.3187233453791</v>
      </c>
      <c r="G7" s="3">
        <v>25796.571113324982</v>
      </c>
      <c r="H7" s="3">
        <v>13495.092270874811</v>
      </c>
      <c r="I7" s="3">
        <v>5518.3262440818053</v>
      </c>
      <c r="J7" s="3">
        <v>7976.7660267930069</v>
      </c>
      <c r="K7" s="3">
        <v>2684.2027064736853</v>
      </c>
      <c r="L7" s="3">
        <v>8245.780307629082</v>
      </c>
      <c r="M7" s="3">
        <v>34545.258898407948</v>
      </c>
      <c r="N7">
        <v>92809.349180437435</v>
      </c>
      <c r="O7">
        <v>23074.406382572539</v>
      </c>
      <c r="P7">
        <v>69734.942797739059</v>
      </c>
      <c r="Q7">
        <v>60078.545406406418</v>
      </c>
      <c r="R7">
        <v>9656.3973986445271</v>
      </c>
      <c r="S7">
        <v>25843.145475813923</v>
      </c>
      <c r="T7">
        <v>16273.635358472739</v>
      </c>
      <c r="U7">
        <v>5501.8842889151556</v>
      </c>
      <c r="V7">
        <v>10771.751069729236</v>
      </c>
      <c r="W7">
        <v>2682.1749024803753</v>
      </c>
      <c r="X7">
        <v>8089.5761674467049</v>
      </c>
      <c r="Y7">
        <v>32460.383435694723</v>
      </c>
      <c r="Z7" s="5">
        <f t="shared" si="2"/>
        <v>1.2584496289491653E-7</v>
      </c>
      <c r="AA7" s="5">
        <f t="shared" si="3"/>
        <v>-7.3118862928822637E-6</v>
      </c>
      <c r="AB7" s="5">
        <f t="shared" si="4"/>
        <v>5.2592440624721348E-8</v>
      </c>
      <c r="AC7" s="5">
        <f t="shared" si="5"/>
        <v>-1.7165257304441184E-7</v>
      </c>
      <c r="AD7" s="5">
        <f t="shared" si="6"/>
        <v>-1.9784374671871774E-7</v>
      </c>
      <c r="AE7" s="7">
        <f>((N7-B7)^2)/(Error!B7^2)</f>
        <v>7.3015924990781134</v>
      </c>
      <c r="AF7" s="7">
        <f>((O7-C7)^2)/(Error!C7^2)</f>
        <v>0.39408690333658297</v>
      </c>
      <c r="AG7" s="7">
        <f>((P7-D7)^2)/(Error!D7^2)</f>
        <v>4.3692292452865029</v>
      </c>
      <c r="AH7" s="7">
        <f>((Q7-E7)^2)/(Error!E7^2)</f>
        <v>3.4953892113543006</v>
      </c>
      <c r="AI7" s="7">
        <f>((R7-F7)^2)/(Error!F7^2)</f>
        <v>7.6372582093892971E-2</v>
      </c>
      <c r="AJ7" s="7">
        <f>((S7-G7)^2)/(Error!G7^2)</f>
        <v>8.1491043700120305E-3</v>
      </c>
      <c r="AK7" s="7">
        <f>((T7-H7)^2)/(Error!H7^2)</f>
        <v>4.2391868089710369</v>
      </c>
      <c r="AL7" s="7">
        <f>((U7-I7)^2)/(Error!I7^2)</f>
        <v>2.2193826319699742E-2</v>
      </c>
      <c r="AM7" s="7">
        <f>((V7-J7)^2)/(Error!J7^2)</f>
        <v>12.277367876032841</v>
      </c>
      <c r="AN7" s="7">
        <f>((W7-K7)^2)/(Error!K7^2)</f>
        <v>1.1647299632544222E-2</v>
      </c>
      <c r="AO7" s="7">
        <f>((X7-L7)^2)/(Error!L7^2)</f>
        <v>0.89714278860639296</v>
      </c>
      <c r="AP7" s="7">
        <f>((Y7-M7)^2)/(Error!M7^2)</f>
        <v>0.36423638958815296</v>
      </c>
      <c r="AQ7" s="8">
        <f t="shared" si="7"/>
        <v>33.456594534670074</v>
      </c>
      <c r="AR7" s="7">
        <f t="shared" si="0"/>
        <v>2.7021459063266944</v>
      </c>
      <c r="AS7" s="7">
        <f t="shared" si="1"/>
        <v>-0.6277634135059027</v>
      </c>
      <c r="AT7" s="7">
        <f t="shared" si="1"/>
        <v>2.0902701369168777</v>
      </c>
      <c r="AU7" s="7">
        <f t="shared" si="1"/>
        <v>-1.8695960021764864</v>
      </c>
      <c r="AV7" s="7">
        <f t="shared" si="1"/>
        <v>-0.27635589751965306</v>
      </c>
      <c r="AW7" s="7">
        <f t="shared" si="1"/>
        <v>-9.027238985432938E-2</v>
      </c>
      <c r="AX7" s="7">
        <f t="shared" si="1"/>
        <v>-2.058928558491294</v>
      </c>
      <c r="AY7" s="7">
        <f t="shared" si="1"/>
        <v>0.1489759253023781</v>
      </c>
      <c r="AZ7" s="7">
        <f t="shared" si="1"/>
        <v>-3.5039075153366763</v>
      </c>
      <c r="BA7" s="7">
        <f t="shared" si="1"/>
        <v>0.10792265578896872</v>
      </c>
      <c r="BB7" s="7">
        <f t="shared" si="1"/>
        <v>0.94717621834925358</v>
      </c>
      <c r="BC7" s="7">
        <f t="shared" si="1"/>
        <v>0.60351999932740663</v>
      </c>
    </row>
    <row r="8" spans="1:56" x14ac:dyDescent="0.25">
      <c r="A8">
        <v>5</v>
      </c>
      <c r="B8" s="3">
        <v>98241.966610778065</v>
      </c>
      <c r="C8" s="3">
        <v>23981.45834161673</v>
      </c>
      <c r="D8" s="3">
        <v>87194.513087628176</v>
      </c>
      <c r="E8" s="3">
        <v>60321.804437022205</v>
      </c>
      <c r="F8" s="3">
        <v>10580.412622327764</v>
      </c>
      <c r="G8" s="3">
        <v>27490.270978034667</v>
      </c>
      <c r="H8" s="3">
        <v>14294.423830698515</v>
      </c>
      <c r="I8" s="3">
        <v>5654.2362168826439</v>
      </c>
      <c r="J8" s="3">
        <v>8640.1876138158714</v>
      </c>
      <c r="K8" s="3">
        <v>1769.8237081841055</v>
      </c>
      <c r="L8" s="3">
        <v>9246.4464838487784</v>
      </c>
      <c r="M8" s="3">
        <v>33857.731788610843</v>
      </c>
      <c r="N8">
        <v>96128.567382484398</v>
      </c>
      <c r="O8">
        <v>24107.597434003237</v>
      </c>
      <c r="P8">
        <v>72020.969948230311</v>
      </c>
      <c r="Q8">
        <v>61408.917444869279</v>
      </c>
      <c r="R8">
        <v>10612.052503540879</v>
      </c>
      <c r="S8">
        <v>27502.370514723912</v>
      </c>
      <c r="T8">
        <v>16518.142693672937</v>
      </c>
      <c r="U8">
        <v>5640.8466707244152</v>
      </c>
      <c r="V8">
        <v>10877.296023006526</v>
      </c>
      <c r="W8">
        <v>1769.2027436002445</v>
      </c>
      <c r="X8">
        <v>9108.0932794369273</v>
      </c>
      <c r="Y8">
        <v>33408.460704986159</v>
      </c>
      <c r="Z8" s="5">
        <f t="shared" si="2"/>
        <v>2.5084591470658779E-7</v>
      </c>
      <c r="AA8" s="5">
        <f t="shared" si="3"/>
        <v>-1.7984712030738592E-7</v>
      </c>
      <c r="AB8" s="5">
        <f t="shared" si="4"/>
        <v>1.3018870959058404E-7</v>
      </c>
      <c r="AC8" s="5">
        <f t="shared" si="5"/>
        <v>-5.8003934100270271E-8</v>
      </c>
      <c r="AD8" s="5">
        <f t="shared" si="6"/>
        <v>-3.064633347094059E-8</v>
      </c>
      <c r="AE8" s="7">
        <f>((N8-B8)^2)/(Error!B8^2)</f>
        <v>1.1569351139441155</v>
      </c>
      <c r="AF8" s="7">
        <f>((O8-C8)^2)/(Error!C8^2)</f>
        <v>6.9165294924759521E-2</v>
      </c>
      <c r="AG8" s="7">
        <f>((P8-D8)^2)/(Error!D8^2)</f>
        <v>3.0282776677435881</v>
      </c>
      <c r="AH8" s="7">
        <f>((Q8-E8)^2)/(Error!E8^2)</f>
        <v>0.81197142293477587</v>
      </c>
      <c r="AI8" s="7">
        <f>((R8-F8)^2)/(Error!F8^2)</f>
        <v>2.2356534668455056E-2</v>
      </c>
      <c r="AJ8" s="7">
        <f>((S8-G8)^2)/(Error!G8^2)</f>
        <v>4.8430555300441058E-4</v>
      </c>
      <c r="AK8" s="7">
        <f>((T8-H8)^2)/(Error!H8^2)</f>
        <v>2.4200617662786543</v>
      </c>
      <c r="AL8" s="7">
        <f>((U8-I8)^2)/(Error!I8^2)</f>
        <v>1.4019219193570319E-2</v>
      </c>
      <c r="AM8" s="7">
        <f>((V8-J8)^2)/(Error!J8^2)</f>
        <v>6.7039028927280091</v>
      </c>
      <c r="AN8" s="7">
        <f>((W8-K8)^2)/(Error!K8^2)</f>
        <v>2.5123350975705971E-3</v>
      </c>
      <c r="AO8" s="7">
        <f>((X8-L8)^2)/(Error!L8^2)</f>
        <v>0.55971730258625085</v>
      </c>
      <c r="AP8" s="7">
        <f>((Y8-M8)^2)/(Error!M8^2)</f>
        <v>1.7607642566216612E-2</v>
      </c>
      <c r="AQ8" s="8">
        <f t="shared" si="7"/>
        <v>14.807011498218969</v>
      </c>
      <c r="AR8" s="7">
        <f t="shared" si="0"/>
        <v>1.0756091827165271</v>
      </c>
      <c r="AS8" s="7">
        <f t="shared" si="1"/>
        <v>-0.26299295603639183</v>
      </c>
      <c r="AT8" s="7">
        <f t="shared" si="1"/>
        <v>1.7401947212147231</v>
      </c>
      <c r="AU8" s="7">
        <f t="shared" si="1"/>
        <v>-0.90109456936260346</v>
      </c>
      <c r="AV8" s="7">
        <f t="shared" si="1"/>
        <v>-0.14952101748067079</v>
      </c>
      <c r="AW8" s="7">
        <f t="shared" si="1"/>
        <v>-2.2006943290798262E-2</v>
      </c>
      <c r="AX8" s="7">
        <f t="shared" si="1"/>
        <v>-1.5556547709175883</v>
      </c>
      <c r="AY8" s="7">
        <f t="shared" si="1"/>
        <v>0.1184027837239071</v>
      </c>
      <c r="AZ8" s="7">
        <f t="shared" si="1"/>
        <v>-2.5891896208520553</v>
      </c>
      <c r="BA8" s="7">
        <f t="shared" si="1"/>
        <v>5.0123199195288771E-2</v>
      </c>
      <c r="BB8" s="7">
        <f t="shared" si="1"/>
        <v>0.74814256835595905</v>
      </c>
      <c r="BC8" s="7">
        <f t="shared" si="1"/>
        <v>0.13269379249315549</v>
      </c>
    </row>
    <row r="9" spans="1:56" x14ac:dyDescent="0.25">
      <c r="A9">
        <v>6</v>
      </c>
      <c r="B9" s="3">
        <v>104209.53276667389</v>
      </c>
      <c r="C9" s="3">
        <v>24278.862847364333</v>
      </c>
      <c r="D9" s="3">
        <v>93619.632175182371</v>
      </c>
      <c r="E9" s="3">
        <v>63529.64934625772</v>
      </c>
      <c r="F9" s="3">
        <v>10097.554438586101</v>
      </c>
      <c r="G9" s="3">
        <v>26461.81298353965</v>
      </c>
      <c r="H9" s="3">
        <v>11027.560121106639</v>
      </c>
      <c r="I9" s="3">
        <v>5566.677011098257</v>
      </c>
      <c r="J9" s="3">
        <v>5460.8831100083808</v>
      </c>
      <c r="K9" s="3">
        <v>1669.565773970523</v>
      </c>
      <c r="L9" s="3">
        <v>6055.2686171644291</v>
      </c>
      <c r="M9" s="3">
        <v>26744.270587817184</v>
      </c>
      <c r="N9">
        <v>100065.70753199409</v>
      </c>
      <c r="O9">
        <v>24504.304350517359</v>
      </c>
      <c r="P9">
        <v>75561.403176925</v>
      </c>
      <c r="Q9">
        <v>65401.700446168878</v>
      </c>
      <c r="R9">
        <v>10159.702748465594</v>
      </c>
      <c r="S9">
        <v>26359.707642881356</v>
      </c>
      <c r="T9">
        <v>13129.017185369739</v>
      </c>
      <c r="U9">
        <v>5540.7354075507728</v>
      </c>
      <c r="V9">
        <v>7588.2817780577561</v>
      </c>
      <c r="W9">
        <v>1668.3058233584036</v>
      </c>
      <c r="X9">
        <v>5919.9759541713183</v>
      </c>
      <c r="Y9">
        <v>29329.022078885882</v>
      </c>
      <c r="Z9" s="5">
        <f t="shared" si="2"/>
        <v>4.5517372200265527E-6</v>
      </c>
      <c r="AA9" s="5">
        <f t="shared" si="3"/>
        <v>-1.7709471649141051E-5</v>
      </c>
      <c r="AB9" s="5">
        <f t="shared" si="4"/>
        <v>-8.9961758931167424E-7</v>
      </c>
      <c r="AC9" s="5">
        <f t="shared" si="5"/>
        <v>-2.3878965293988585E-7</v>
      </c>
      <c r="AD9" s="5">
        <f t="shared" si="6"/>
        <v>5.2803420658165123E-7</v>
      </c>
      <c r="AE9" s="7">
        <f>((N9-B9)^2)/(Error!B9^2)</f>
        <v>3.9530105452006579</v>
      </c>
      <c r="AF9" s="7">
        <f>((O9-C9)^2)/(Error!C9^2)</f>
        <v>0.21555150927231251</v>
      </c>
      <c r="AG9" s="7">
        <f>((P9-D9)^2)/(Error!D9^2)</f>
        <v>3.7206297225799236</v>
      </c>
      <c r="AH9" s="7">
        <f>((Q9-E9)^2)/(Error!E9^2)</f>
        <v>2.1708133839083121</v>
      </c>
      <c r="AI9" s="7">
        <f>((R9-F9)^2)/(Error!F9^2)</f>
        <v>9.4703547429552823E-2</v>
      </c>
      <c r="AJ9" s="7">
        <f>((S9-G9)^2)/(Error!G9^2)</f>
        <v>3.7221831120846462E-2</v>
      </c>
      <c r="AK9" s="7">
        <f>((T9-H9)^2)/(Error!H9^2)</f>
        <v>3.6314676021781631</v>
      </c>
      <c r="AL9" s="7">
        <f>((U9-I9)^2)/(Error!I9^2)</f>
        <v>5.429271972363206E-2</v>
      </c>
      <c r="AM9" s="7">
        <f>((V9-J9)^2)/(Error!J9^2)</f>
        <v>15.176513230098037</v>
      </c>
      <c r="AN9" s="7">
        <f>((W9-K9)^2)/(Error!K9^2)</f>
        <v>1.1622616215742412E-2</v>
      </c>
      <c r="AO9" s="7">
        <f>((X9-L9)^2)/(Error!L9^2)</f>
        <v>1.2480203640235745</v>
      </c>
      <c r="AP9" s="7">
        <f>((Y9-M9)^2)/(Error!M9^2)</f>
        <v>0.9340627948529332</v>
      </c>
      <c r="AQ9" s="8">
        <f t="shared" ref="AQ5:AQ30" si="8">SUM(AE9:AP9)</f>
        <v>31.247909866603688</v>
      </c>
      <c r="AR9" s="7">
        <f t="shared" si="0"/>
        <v>1.9882179320186855</v>
      </c>
      <c r="AS9" s="7">
        <f t="shared" si="1"/>
        <v>-0.46427525162592126</v>
      </c>
      <c r="AT9" s="7">
        <f t="shared" si="1"/>
        <v>1.9288933932646262</v>
      </c>
      <c r="AU9" s="7">
        <f t="shared" si="1"/>
        <v>-1.4733680408873786</v>
      </c>
      <c r="AV9" s="7">
        <f t="shared" si="1"/>
        <v>-0.3077394148131708</v>
      </c>
      <c r="AW9" s="7">
        <f t="shared" si="1"/>
        <v>0.19292960146345212</v>
      </c>
      <c r="AX9" s="7">
        <f t="shared" si="1"/>
        <v>-1.9056409950927702</v>
      </c>
      <c r="AY9" s="7">
        <f t="shared" si="1"/>
        <v>0.23300798210282853</v>
      </c>
      <c r="AZ9" s="7">
        <f t="shared" si="1"/>
        <v>-3.895704458772256</v>
      </c>
      <c r="BA9" s="7">
        <f t="shared" si="1"/>
        <v>0.10780823816268593</v>
      </c>
      <c r="BB9" s="7">
        <f t="shared" si="1"/>
        <v>1.1171483178269457</v>
      </c>
      <c r="BC9" s="7">
        <f t="shared" si="1"/>
        <v>-0.96646924154518921</v>
      </c>
    </row>
    <row r="10" spans="1:56" x14ac:dyDescent="0.25">
      <c r="A10">
        <v>7</v>
      </c>
      <c r="B10" s="3">
        <v>92255.711862141907</v>
      </c>
      <c r="C10" s="3">
        <v>22464.312747016516</v>
      </c>
      <c r="D10" s="3">
        <v>81621.654922350135</v>
      </c>
      <c r="E10" s="3">
        <v>54883.62238738712</v>
      </c>
      <c r="F10" s="3">
        <v>9187.4233249249774</v>
      </c>
      <c r="G10" s="3">
        <v>30947.260068391646</v>
      </c>
      <c r="H10" s="3">
        <v>14235.997077056752</v>
      </c>
      <c r="I10" s="3">
        <v>5541.5869838192557</v>
      </c>
      <c r="J10" s="3">
        <v>8694.4100932374968</v>
      </c>
      <c r="K10" s="3">
        <v>4002.9304937945208</v>
      </c>
      <c r="L10" s="3">
        <v>6655.2043271641896</v>
      </c>
      <c r="M10" s="3">
        <v>36622.991443920066</v>
      </c>
      <c r="N10">
        <v>92255.711862141907</v>
      </c>
      <c r="O10">
        <v>22464.312747016516</v>
      </c>
      <c r="P10">
        <v>81621.654922350135</v>
      </c>
      <c r="Q10">
        <v>54883.62238738712</v>
      </c>
      <c r="R10">
        <v>9187.4233249249774</v>
      </c>
      <c r="S10">
        <v>30947.260068391646</v>
      </c>
      <c r="T10">
        <v>14235.997077056752</v>
      </c>
      <c r="U10">
        <v>5541.5869838192557</v>
      </c>
      <c r="V10">
        <v>8694.4100932374968</v>
      </c>
      <c r="W10">
        <v>4002.9304937945208</v>
      </c>
      <c r="X10">
        <v>6655.2043271641896</v>
      </c>
      <c r="Y10">
        <v>36622.991443920066</v>
      </c>
      <c r="Z10" s="5">
        <f t="shared" si="2"/>
        <v>-11830.255807224748</v>
      </c>
      <c r="AA10" s="5">
        <f t="shared" si="3"/>
        <v>17550.609210038037</v>
      </c>
      <c r="AB10" s="5">
        <f t="shared" si="4"/>
        <v>627.15762339664798</v>
      </c>
      <c r="AC10" s="5">
        <f t="shared" si="5"/>
        <v>0</v>
      </c>
      <c r="AD10" s="5">
        <f t="shared" si="6"/>
        <v>-1963.7247277212136</v>
      </c>
      <c r="AE10" s="7">
        <f>((N10-B10)^2)/(Error!B10^2)</f>
        <v>0</v>
      </c>
      <c r="AF10" s="7">
        <f>((O10-C10)^2)/(Error!C10^2)</f>
        <v>0</v>
      </c>
      <c r="AG10" s="7">
        <f>((P10-D10)^2)/(Error!D10^2)</f>
        <v>0</v>
      </c>
      <c r="AH10" s="7">
        <f>((Q10-E10)^2)/(Error!E10^2)</f>
        <v>0</v>
      </c>
      <c r="AI10" s="7">
        <f>((R10-F10)^2)/(Error!F10^2)</f>
        <v>0</v>
      </c>
      <c r="AJ10" s="7">
        <f>((S10-G10)^2)/(Error!G10^2)</f>
        <v>0</v>
      </c>
      <c r="AK10" s="7">
        <f>((T10-H10)^2)/(Error!H10^2)</f>
        <v>0</v>
      </c>
      <c r="AL10" s="7">
        <f>((U10-I10)^2)/(Error!I10^2)</f>
        <v>0</v>
      </c>
      <c r="AM10" s="7">
        <f>((V10-J10)^2)/(Error!J10^2)</f>
        <v>0</v>
      </c>
      <c r="AN10" s="7">
        <f>((W10-K10)^2)/(Error!K10^2)</f>
        <v>0</v>
      </c>
      <c r="AO10" s="7">
        <f>((X10-L10)^2)/(Error!L10^2)</f>
        <v>0</v>
      </c>
      <c r="AP10" s="7">
        <f>((Y10-M10)^2)/(Error!M10^2)</f>
        <v>0</v>
      </c>
      <c r="AQ10" s="8">
        <f t="shared" si="8"/>
        <v>0</v>
      </c>
      <c r="AR10" s="7">
        <f t="shared" si="0"/>
        <v>0</v>
      </c>
      <c r="AS10" s="7">
        <f t="shared" si="1"/>
        <v>0</v>
      </c>
      <c r="AT10" s="7">
        <f t="shared" si="1"/>
        <v>0</v>
      </c>
      <c r="AU10" s="7">
        <f t="shared" si="1"/>
        <v>0</v>
      </c>
      <c r="AV10" s="7">
        <f t="shared" si="1"/>
        <v>0</v>
      </c>
      <c r="AW10" s="7">
        <f t="shared" si="1"/>
        <v>0</v>
      </c>
      <c r="AX10" s="7">
        <f t="shared" si="1"/>
        <v>0</v>
      </c>
      <c r="AY10" s="7">
        <f t="shared" si="1"/>
        <v>0</v>
      </c>
      <c r="AZ10" s="7">
        <f t="shared" si="1"/>
        <v>0</v>
      </c>
      <c r="BA10" s="7">
        <f t="shared" si="1"/>
        <v>0</v>
      </c>
      <c r="BB10" s="7">
        <f t="shared" si="1"/>
        <v>0</v>
      </c>
      <c r="BC10" s="7">
        <f t="shared" si="1"/>
        <v>0</v>
      </c>
    </row>
    <row r="11" spans="1:56" x14ac:dyDescent="0.25">
      <c r="A11">
        <v>8</v>
      </c>
      <c r="B11" s="3">
        <v>35148.392658291043</v>
      </c>
      <c r="C11" s="3">
        <v>15407.479767909255</v>
      </c>
      <c r="D11" s="3">
        <v>23020.66902442995</v>
      </c>
      <c r="E11" s="3">
        <v>22002.284352665502</v>
      </c>
      <c r="F11" s="3">
        <v>1364.5186218979027</v>
      </c>
      <c r="G11" s="3">
        <v>39009.811700419821</v>
      </c>
      <c r="H11" s="3">
        <v>9089.7748286551468</v>
      </c>
      <c r="I11" s="3">
        <v>3442.9180037812243</v>
      </c>
      <c r="J11" s="3">
        <v>5646.8568248739221</v>
      </c>
      <c r="K11" s="3">
        <v>791.8441445281245</v>
      </c>
      <c r="L11" s="3">
        <v>4963.0511054753615</v>
      </c>
      <c r="M11" s="3">
        <v>5570.849780638946</v>
      </c>
      <c r="N11">
        <v>35148.392658291043</v>
      </c>
      <c r="O11">
        <v>15407.479767909255</v>
      </c>
      <c r="P11">
        <v>23020.66902442995</v>
      </c>
      <c r="Q11">
        <v>22002.284352665502</v>
      </c>
      <c r="R11">
        <v>1364.5186218979027</v>
      </c>
      <c r="S11">
        <v>39009.811700419821</v>
      </c>
      <c r="T11">
        <v>9089.7748286551468</v>
      </c>
      <c r="U11">
        <v>3442.9180037812243</v>
      </c>
      <c r="V11">
        <v>5646.8568248739221</v>
      </c>
      <c r="W11">
        <v>791.8441445281245</v>
      </c>
      <c r="X11">
        <v>4963.0511054753615</v>
      </c>
      <c r="Y11">
        <v>5570.849780638946</v>
      </c>
      <c r="Z11" s="5">
        <f t="shared" si="2"/>
        <v>-3279.7561340481625</v>
      </c>
      <c r="AA11" s="5">
        <f t="shared" si="3"/>
        <v>-346.13395013345439</v>
      </c>
      <c r="AB11" s="5">
        <f t="shared" si="4"/>
        <v>-41164.218126538122</v>
      </c>
      <c r="AC11" s="5">
        <f t="shared" si="5"/>
        <v>0</v>
      </c>
      <c r="AD11" s="5">
        <f t="shared" si="6"/>
        <v>-108.03842512956396</v>
      </c>
      <c r="AE11" s="7">
        <f>((N11-B11)^2)/(Error!B11^2)</f>
        <v>0</v>
      </c>
      <c r="AF11" s="7">
        <f>((O11-C11)^2)/(Error!C11^2)</f>
        <v>0</v>
      </c>
      <c r="AG11" s="7">
        <f>((P11-D11)^2)/(Error!D11^2)</f>
        <v>0</v>
      </c>
      <c r="AH11" s="7">
        <f>((Q11-E11)^2)/(Error!E11^2)</f>
        <v>0</v>
      </c>
      <c r="AI11" s="7">
        <f>((R11-F11)^2)/(Error!F11^2)</f>
        <v>0</v>
      </c>
      <c r="AJ11" s="7">
        <f>((S11-G11)^2)/(Error!G11^2)</f>
        <v>0</v>
      </c>
      <c r="AK11" s="7">
        <f>((T11-H11)^2)/(Error!H11^2)</f>
        <v>0</v>
      </c>
      <c r="AL11" s="7">
        <f>((U11-I11)^2)/(Error!I11^2)</f>
        <v>0</v>
      </c>
      <c r="AM11" s="7">
        <f>((V11-J11)^2)/(Error!J11^2)</f>
        <v>0</v>
      </c>
      <c r="AN11" s="7">
        <f>((W11-K11)^2)/(Error!K11^2)</f>
        <v>0</v>
      </c>
      <c r="AO11" s="7">
        <f>((X11-L11)^2)/(Error!L11^2)</f>
        <v>0</v>
      </c>
      <c r="AP11" s="7">
        <f>((Y11-M11)^2)/(Error!M11^2)</f>
        <v>0</v>
      </c>
      <c r="AQ11" s="8">
        <f t="shared" si="8"/>
        <v>0</v>
      </c>
      <c r="AR11" s="7">
        <f t="shared" ref="AR11:AR30" si="9">+SQRT(AE11)*SIGN(B11-N11)</f>
        <v>0</v>
      </c>
      <c r="AS11" s="7">
        <f t="shared" si="1"/>
        <v>0</v>
      </c>
      <c r="AT11" s="7">
        <f t="shared" si="1"/>
        <v>0</v>
      </c>
      <c r="AU11" s="7">
        <f t="shared" si="1"/>
        <v>0</v>
      </c>
      <c r="AV11" s="7">
        <f t="shared" si="1"/>
        <v>0</v>
      </c>
      <c r="AW11" s="7">
        <f t="shared" si="1"/>
        <v>0</v>
      </c>
      <c r="AX11" s="7">
        <f t="shared" si="1"/>
        <v>0</v>
      </c>
      <c r="AY11" s="7">
        <f t="shared" si="1"/>
        <v>0</v>
      </c>
      <c r="AZ11" s="7">
        <f t="shared" si="1"/>
        <v>0</v>
      </c>
      <c r="BA11" s="7">
        <f t="shared" si="1"/>
        <v>0</v>
      </c>
      <c r="BB11" s="7">
        <f t="shared" si="1"/>
        <v>0</v>
      </c>
      <c r="BC11" s="7">
        <f t="shared" si="1"/>
        <v>0</v>
      </c>
    </row>
    <row r="12" spans="1:56" x14ac:dyDescent="0.25">
      <c r="A12">
        <v>9</v>
      </c>
      <c r="B12" s="3">
        <v>38258.65465346659</v>
      </c>
      <c r="C12" s="3">
        <v>9695.6588576659433</v>
      </c>
      <c r="D12" s="3">
        <v>32745.834941549863</v>
      </c>
      <c r="E12" s="3">
        <v>25147.600547007398</v>
      </c>
      <c r="F12" s="3">
        <v>3758.9904812649661</v>
      </c>
      <c r="G12" s="3">
        <v>41547.155077049429</v>
      </c>
      <c r="H12" s="3">
        <v>7938.8418507625493</v>
      </c>
      <c r="I12" s="3">
        <v>3040.1994669356709</v>
      </c>
      <c r="J12" s="3">
        <v>4898.6423838268793</v>
      </c>
      <c r="K12" s="3">
        <v>1116.1387881702362</v>
      </c>
      <c r="L12" s="3">
        <v>7524.0940154081845</v>
      </c>
      <c r="M12" s="3">
        <v>21712.546488514272</v>
      </c>
      <c r="N12">
        <v>38258.65465346659</v>
      </c>
      <c r="O12">
        <v>9695.6588576659433</v>
      </c>
      <c r="P12">
        <v>32745.834941549863</v>
      </c>
      <c r="Q12">
        <v>25147.600547007398</v>
      </c>
      <c r="R12">
        <v>3758.9904812649661</v>
      </c>
      <c r="S12">
        <v>41547.155077049429</v>
      </c>
      <c r="T12">
        <v>7938.8418507625493</v>
      </c>
      <c r="U12">
        <v>3040.1994669356709</v>
      </c>
      <c r="V12">
        <v>4898.6423838268793</v>
      </c>
      <c r="W12">
        <v>1116.1387881702362</v>
      </c>
      <c r="X12">
        <v>7524.0940154081845</v>
      </c>
      <c r="Y12">
        <v>21712.546488514272</v>
      </c>
      <c r="Z12" s="5">
        <f t="shared" si="2"/>
        <v>-4182.8391457492144</v>
      </c>
      <c r="AA12" s="5">
        <f t="shared" si="3"/>
        <v>3839.2439132774994</v>
      </c>
      <c r="AB12" s="5">
        <f t="shared" si="4"/>
        <v>-24014.459958032741</v>
      </c>
      <c r="AC12" s="5">
        <f t="shared" si="5"/>
        <v>0</v>
      </c>
      <c r="AD12" s="5">
        <f t="shared" si="6"/>
        <v>-3741.5904197515415</v>
      </c>
      <c r="AE12" s="7">
        <f>((N12-B12)^2)/(Error!B12^2)</f>
        <v>0</v>
      </c>
      <c r="AF12" s="7">
        <f>((O12-C12)^2)/(Error!C12^2)</f>
        <v>0</v>
      </c>
      <c r="AG12" s="7">
        <f>((P12-D12)^2)/(Error!D12^2)</f>
        <v>0</v>
      </c>
      <c r="AH12" s="7">
        <f>((Q12-E12)^2)/(Error!E12^2)</f>
        <v>0</v>
      </c>
      <c r="AI12" s="7">
        <f>((R12-F12)^2)/(Error!F12^2)</f>
        <v>0</v>
      </c>
      <c r="AJ12" s="7">
        <f>((S12-G12)^2)/(Error!G12^2)</f>
        <v>0</v>
      </c>
      <c r="AK12" s="7">
        <f>((T12-H12)^2)/(Error!H12^2)</f>
        <v>0</v>
      </c>
      <c r="AL12" s="7">
        <f>((U12-I12)^2)/(Error!I12^2)</f>
        <v>0</v>
      </c>
      <c r="AM12" s="7">
        <f>((V12-J12)^2)/(Error!J12^2)</f>
        <v>0</v>
      </c>
      <c r="AN12" s="7">
        <f>((W12-K12)^2)/(Error!K12^2)</f>
        <v>0</v>
      </c>
      <c r="AO12" s="7">
        <f>((X12-L12)^2)/(Error!L12^2)</f>
        <v>0</v>
      </c>
      <c r="AP12" s="7">
        <f>((Y12-M12)^2)/(Error!M12^2)</f>
        <v>0</v>
      </c>
      <c r="AQ12" s="8">
        <f t="shared" si="8"/>
        <v>0</v>
      </c>
      <c r="AR12" s="7">
        <f t="shared" si="9"/>
        <v>0</v>
      </c>
      <c r="AS12" s="7">
        <f t="shared" si="1"/>
        <v>0</v>
      </c>
      <c r="AT12" s="7">
        <f t="shared" si="1"/>
        <v>0</v>
      </c>
      <c r="AU12" s="7">
        <f t="shared" si="1"/>
        <v>0</v>
      </c>
      <c r="AV12" s="7">
        <f t="shared" si="1"/>
        <v>0</v>
      </c>
      <c r="AW12" s="7">
        <f t="shared" si="1"/>
        <v>0</v>
      </c>
      <c r="AX12" s="7">
        <f t="shared" si="1"/>
        <v>0</v>
      </c>
      <c r="AY12" s="7">
        <f t="shared" si="1"/>
        <v>0</v>
      </c>
      <c r="AZ12" s="7">
        <f t="shared" si="1"/>
        <v>0</v>
      </c>
      <c r="BA12" s="7">
        <f t="shared" si="1"/>
        <v>0</v>
      </c>
      <c r="BB12" s="7">
        <f t="shared" si="1"/>
        <v>0</v>
      </c>
      <c r="BC12" s="7">
        <f t="shared" si="1"/>
        <v>0</v>
      </c>
    </row>
    <row r="13" spans="1:56" x14ac:dyDescent="0.25">
      <c r="A13">
        <v>10</v>
      </c>
      <c r="B13" s="3">
        <v>77122.089572478231</v>
      </c>
      <c r="C13" s="3">
        <v>18653.005282600887</v>
      </c>
      <c r="D13" s="3">
        <v>67975.769761820033</v>
      </c>
      <c r="E13" s="3">
        <v>48974.726518964177</v>
      </c>
      <c r="F13" s="3">
        <v>5951.6302417340421</v>
      </c>
      <c r="G13" s="3">
        <v>15625.058607788522</v>
      </c>
      <c r="H13" s="3">
        <v>7178.3006854926643</v>
      </c>
      <c r="I13" s="3">
        <v>3058.4442000555146</v>
      </c>
      <c r="J13" s="3">
        <v>4119.8564854371498</v>
      </c>
      <c r="K13" s="3">
        <v>1349.1806893673304</v>
      </c>
      <c r="L13" s="3">
        <v>5985.2705412593277</v>
      </c>
      <c r="M13" s="3">
        <v>25032.169982796324</v>
      </c>
      <c r="N13">
        <v>77122.089572478231</v>
      </c>
      <c r="O13">
        <v>18653.005282600887</v>
      </c>
      <c r="P13">
        <v>67975.769761820033</v>
      </c>
      <c r="Q13">
        <v>48974.726518964177</v>
      </c>
      <c r="R13">
        <v>5951.6302417340421</v>
      </c>
      <c r="S13">
        <v>15625.058607788522</v>
      </c>
      <c r="T13">
        <v>7178.3006854926643</v>
      </c>
      <c r="U13">
        <v>3058.4442000555146</v>
      </c>
      <c r="V13">
        <v>4119.8564854371498</v>
      </c>
      <c r="W13">
        <v>1349.1806893673304</v>
      </c>
      <c r="X13">
        <v>5985.2705412593277</v>
      </c>
      <c r="Y13">
        <v>25032.169982796324</v>
      </c>
      <c r="Z13" s="5">
        <f t="shared" si="2"/>
        <v>-9506.6854719426919</v>
      </c>
      <c r="AA13" s="5">
        <f t="shared" si="3"/>
        <v>13049.413001121815</v>
      </c>
      <c r="AB13" s="5">
        <f t="shared" si="4"/>
        <v>8180.4409312491789</v>
      </c>
      <c r="AC13" s="5">
        <f t="shared" si="5"/>
        <v>0</v>
      </c>
      <c r="AD13" s="5">
        <f t="shared" si="6"/>
        <v>-3214.5947451895081</v>
      </c>
      <c r="AE13" s="7">
        <f>((N13-B13)^2)/(Error!B13^2)</f>
        <v>0</v>
      </c>
      <c r="AF13" s="7">
        <f>((O13-C13)^2)/(Error!C13^2)</f>
        <v>0</v>
      </c>
      <c r="AG13" s="7">
        <f>((P13-D13)^2)/(Error!D13^2)</f>
        <v>0</v>
      </c>
      <c r="AH13" s="7">
        <f>((Q13-E13)^2)/(Error!E13^2)</f>
        <v>0</v>
      </c>
      <c r="AI13" s="7">
        <f>((R13-F13)^2)/(Error!F13^2)</f>
        <v>0</v>
      </c>
      <c r="AJ13" s="7">
        <f>((S13-G13)^2)/(Error!G13^2)</f>
        <v>0</v>
      </c>
      <c r="AK13" s="7">
        <f>((T13-H13)^2)/(Error!H13^2)</f>
        <v>0</v>
      </c>
      <c r="AL13" s="7">
        <f>((U13-I13)^2)/(Error!I13^2)</f>
        <v>0</v>
      </c>
      <c r="AM13" s="7">
        <f>((V13-J13)^2)/(Error!J13^2)</f>
        <v>0</v>
      </c>
      <c r="AN13" s="7">
        <f>((W13-K13)^2)/(Error!K13^2)</f>
        <v>0</v>
      </c>
      <c r="AO13" s="7">
        <f>((X13-L13)^2)/(Error!L13^2)</f>
        <v>0</v>
      </c>
      <c r="AP13" s="7">
        <f>((Y13-M13)^2)/(Error!M13^2)</f>
        <v>0</v>
      </c>
      <c r="AQ13" s="8">
        <f t="shared" si="8"/>
        <v>0</v>
      </c>
      <c r="AR13" s="7">
        <f t="shared" si="9"/>
        <v>0</v>
      </c>
      <c r="AS13" s="7">
        <f t="shared" si="1"/>
        <v>0</v>
      </c>
      <c r="AT13" s="7">
        <f t="shared" si="1"/>
        <v>0</v>
      </c>
      <c r="AU13" s="7">
        <f t="shared" si="1"/>
        <v>0</v>
      </c>
      <c r="AV13" s="7">
        <f t="shared" si="1"/>
        <v>0</v>
      </c>
      <c r="AW13" s="7">
        <f t="shared" si="1"/>
        <v>0</v>
      </c>
      <c r="AX13" s="7">
        <f t="shared" si="1"/>
        <v>0</v>
      </c>
      <c r="AY13" s="7">
        <f t="shared" si="1"/>
        <v>0</v>
      </c>
      <c r="AZ13" s="7">
        <f t="shared" si="1"/>
        <v>0</v>
      </c>
      <c r="BA13" s="7">
        <f t="shared" si="1"/>
        <v>0</v>
      </c>
      <c r="BB13" s="7">
        <f t="shared" si="1"/>
        <v>0</v>
      </c>
      <c r="BC13" s="7">
        <f t="shared" si="1"/>
        <v>0</v>
      </c>
    </row>
    <row r="14" spans="1:56" x14ac:dyDescent="0.25">
      <c r="A14">
        <v>11</v>
      </c>
      <c r="B14" s="3">
        <v>76159.483250695281</v>
      </c>
      <c r="C14" s="3">
        <v>17011.16765456443</v>
      </c>
      <c r="D14" s="3">
        <v>68053.197308170071</v>
      </c>
      <c r="E14" s="3">
        <v>50434.449170164116</v>
      </c>
      <c r="F14" s="3">
        <v>5194.8522048364603</v>
      </c>
      <c r="G14" s="3">
        <v>13692.831095621523</v>
      </c>
      <c r="H14" s="3">
        <v>10961.925261887309</v>
      </c>
      <c r="I14" s="3">
        <v>5853.9808186421251</v>
      </c>
      <c r="J14" s="3">
        <v>5107.9444432451837</v>
      </c>
      <c r="K14" s="3">
        <v>1012.9445453068475</v>
      </c>
      <c r="L14" s="3">
        <v>6762.956273343817</v>
      </c>
      <c r="M14" s="3">
        <v>28418.115923015459</v>
      </c>
      <c r="N14">
        <v>76159.483250695281</v>
      </c>
      <c r="O14">
        <v>17011.16765456443</v>
      </c>
      <c r="P14">
        <v>68053.197308170071</v>
      </c>
      <c r="Q14">
        <v>50434.449170164116</v>
      </c>
      <c r="R14">
        <v>5194.8522048364603</v>
      </c>
      <c r="S14">
        <v>13692.831095621523</v>
      </c>
      <c r="T14">
        <v>10961.925261887309</v>
      </c>
      <c r="U14">
        <v>5853.9808186421251</v>
      </c>
      <c r="V14">
        <v>5107.9444432451837</v>
      </c>
      <c r="W14">
        <v>1012.9445453068475</v>
      </c>
      <c r="X14">
        <v>6762.956273343817</v>
      </c>
      <c r="Y14">
        <v>28418.115923015459</v>
      </c>
      <c r="Z14" s="5">
        <f t="shared" si="2"/>
        <v>-8904.8817120392196</v>
      </c>
      <c r="AA14" s="5">
        <f t="shared" si="3"/>
        <v>12423.895933169493</v>
      </c>
      <c r="AB14" s="5">
        <f t="shared" si="4"/>
        <v>8958.2117703430904</v>
      </c>
      <c r="AC14" s="5">
        <f t="shared" si="5"/>
        <v>0</v>
      </c>
      <c r="AD14" s="5">
        <f t="shared" si="6"/>
        <v>-2667.9563754054807</v>
      </c>
      <c r="AE14" s="7">
        <f>((N14-B14)^2)/(Error!B14^2)</f>
        <v>0</v>
      </c>
      <c r="AF14" s="7">
        <f>((O14-C14)^2)/(Error!C14^2)</f>
        <v>0</v>
      </c>
      <c r="AG14" s="7">
        <f>((P14-D14)^2)/(Error!D14^2)</f>
        <v>0</v>
      </c>
      <c r="AH14" s="7">
        <f>((Q14-E14)^2)/(Error!E14^2)</f>
        <v>0</v>
      </c>
      <c r="AI14" s="7">
        <f>((R14-F14)^2)/(Error!F14^2)</f>
        <v>0</v>
      </c>
      <c r="AJ14" s="7">
        <f>((S14-G14)^2)/(Error!G14^2)</f>
        <v>0</v>
      </c>
      <c r="AK14" s="7">
        <f>((T14-H14)^2)/(Error!H14^2)</f>
        <v>0</v>
      </c>
      <c r="AL14" s="7">
        <f>((U14-I14)^2)/(Error!I14^2)</f>
        <v>0</v>
      </c>
      <c r="AM14" s="7">
        <f>((V14-J14)^2)/(Error!J14^2)</f>
        <v>0</v>
      </c>
      <c r="AN14" s="7">
        <f>((W14-K14)^2)/(Error!K14^2)</f>
        <v>0</v>
      </c>
      <c r="AO14" s="7">
        <f>((X14-L14)^2)/(Error!L14^2)</f>
        <v>0</v>
      </c>
      <c r="AP14" s="7">
        <f>((Y14-M14)^2)/(Error!M14^2)</f>
        <v>0</v>
      </c>
      <c r="AQ14" s="8">
        <f t="shared" si="8"/>
        <v>0</v>
      </c>
      <c r="AR14" s="7">
        <f t="shared" si="9"/>
        <v>0</v>
      </c>
      <c r="AS14" s="7">
        <f t="shared" si="1"/>
        <v>0</v>
      </c>
      <c r="AT14" s="7">
        <f t="shared" si="1"/>
        <v>0</v>
      </c>
      <c r="AU14" s="7">
        <f t="shared" si="1"/>
        <v>0</v>
      </c>
      <c r="AV14" s="7">
        <f t="shared" si="1"/>
        <v>0</v>
      </c>
      <c r="AW14" s="7">
        <f t="shared" si="1"/>
        <v>0</v>
      </c>
      <c r="AX14" s="7">
        <f t="shared" si="1"/>
        <v>0</v>
      </c>
      <c r="AY14" s="7">
        <f t="shared" si="1"/>
        <v>0</v>
      </c>
      <c r="AZ14" s="7">
        <f t="shared" si="1"/>
        <v>0</v>
      </c>
      <c r="BA14" s="7">
        <f t="shared" si="1"/>
        <v>0</v>
      </c>
      <c r="BB14" s="7">
        <f t="shared" si="1"/>
        <v>0</v>
      </c>
      <c r="BC14" s="7">
        <f t="shared" si="1"/>
        <v>0</v>
      </c>
    </row>
    <row r="15" spans="1:56" x14ac:dyDescent="0.25">
      <c r="A15">
        <v>12</v>
      </c>
      <c r="B15" s="3">
        <v>70519.552092739745</v>
      </c>
      <c r="C15" s="3">
        <v>18951.787470255989</v>
      </c>
      <c r="D15" s="3">
        <v>59387.749281890428</v>
      </c>
      <c r="E15" s="3">
        <v>45670.008722854785</v>
      </c>
      <c r="F15" s="3">
        <v>3863.2405284613524</v>
      </c>
      <c r="G15" s="3">
        <v>28834.589487651578</v>
      </c>
      <c r="H15" s="3">
        <v>10140.791851610296</v>
      </c>
      <c r="I15" s="3">
        <v>5028.5489002558743</v>
      </c>
      <c r="J15" s="3">
        <v>5112.242951354423</v>
      </c>
      <c r="K15" s="3">
        <v>1525.1707325236093</v>
      </c>
      <c r="L15" s="3">
        <v>6215.2645311578708</v>
      </c>
      <c r="M15" s="3">
        <v>40133.411442976634</v>
      </c>
      <c r="N15">
        <v>70519.552092739745</v>
      </c>
      <c r="O15">
        <v>18951.787470255989</v>
      </c>
      <c r="P15">
        <v>59387.749281890428</v>
      </c>
      <c r="Q15">
        <v>45670.008722854785</v>
      </c>
      <c r="R15">
        <v>3863.2405284613524</v>
      </c>
      <c r="S15">
        <v>28834.589487651578</v>
      </c>
      <c r="T15">
        <v>10140.791851610296</v>
      </c>
      <c r="U15">
        <v>5028.5489002558743</v>
      </c>
      <c r="V15">
        <v>5112.242951354423</v>
      </c>
      <c r="W15">
        <v>1525.1707325236093</v>
      </c>
      <c r="X15">
        <v>6215.2645311578708</v>
      </c>
      <c r="Y15">
        <v>40133.411442976634</v>
      </c>
      <c r="Z15" s="5">
        <f t="shared" si="2"/>
        <v>-7819.9846594066767</v>
      </c>
      <c r="AA15" s="5">
        <f t="shared" si="3"/>
        <v>9854.5000305742906</v>
      </c>
      <c r="AB15" s="5">
        <f t="shared" si="4"/>
        <v>5021.2706321761088</v>
      </c>
      <c r="AC15" s="5">
        <f t="shared" si="5"/>
        <v>0</v>
      </c>
      <c r="AD15" s="5">
        <f t="shared" si="6"/>
        <v>-2628.1923123270572</v>
      </c>
      <c r="AE15" s="7">
        <f>((N15-B15)^2)/(Error!B15^2)</f>
        <v>0</v>
      </c>
      <c r="AF15" s="7">
        <f>((O15-C15)^2)/(Error!C15^2)</f>
        <v>0</v>
      </c>
      <c r="AG15" s="7">
        <f>((P15-D15)^2)/(Error!D15^2)</f>
        <v>0</v>
      </c>
      <c r="AH15" s="7">
        <f>((Q15-E15)^2)/(Error!E15^2)</f>
        <v>0</v>
      </c>
      <c r="AI15" s="7">
        <f>((R15-F15)^2)/(Error!F15^2)</f>
        <v>0</v>
      </c>
      <c r="AJ15" s="7">
        <f>((S15-G15)^2)/(Error!G15^2)</f>
        <v>0</v>
      </c>
      <c r="AK15" s="7">
        <f>((T15-H15)^2)/(Error!H15^2)</f>
        <v>0</v>
      </c>
      <c r="AL15" s="7">
        <f>((U15-I15)^2)/(Error!I15^2)</f>
        <v>0</v>
      </c>
      <c r="AM15" s="7">
        <f>((V15-J15)^2)/(Error!J15^2)</f>
        <v>0</v>
      </c>
      <c r="AN15" s="7">
        <f>((W15-K15)^2)/(Error!K15^2)</f>
        <v>0</v>
      </c>
      <c r="AO15" s="7">
        <f>((X15-L15)^2)/(Error!L15^2)</f>
        <v>0</v>
      </c>
      <c r="AP15" s="7">
        <f>((Y15-M15)^2)/(Error!M15^2)</f>
        <v>0</v>
      </c>
      <c r="AQ15" s="8">
        <f t="shared" si="8"/>
        <v>0</v>
      </c>
      <c r="AR15" s="7">
        <f t="shared" si="9"/>
        <v>0</v>
      </c>
      <c r="AS15" s="7">
        <f t="shared" si="1"/>
        <v>0</v>
      </c>
      <c r="AT15" s="7">
        <f t="shared" si="1"/>
        <v>0</v>
      </c>
      <c r="AU15" s="7">
        <f t="shared" si="1"/>
        <v>0</v>
      </c>
      <c r="AV15" s="7">
        <f t="shared" si="1"/>
        <v>0</v>
      </c>
      <c r="AW15" s="7">
        <f t="shared" si="1"/>
        <v>0</v>
      </c>
      <c r="AX15" s="7">
        <f t="shared" si="1"/>
        <v>0</v>
      </c>
      <c r="AY15" s="7">
        <f t="shared" si="1"/>
        <v>0</v>
      </c>
      <c r="AZ15" s="7">
        <f t="shared" si="1"/>
        <v>0</v>
      </c>
      <c r="BA15" s="7">
        <f t="shared" si="1"/>
        <v>0</v>
      </c>
      <c r="BB15" s="7">
        <f t="shared" si="1"/>
        <v>0</v>
      </c>
      <c r="BC15" s="7">
        <f t="shared" si="1"/>
        <v>0</v>
      </c>
    </row>
    <row r="16" spans="1:56" x14ac:dyDescent="0.25">
      <c r="A16">
        <v>13</v>
      </c>
      <c r="B16" s="3">
        <v>73487.487816170513</v>
      </c>
      <c r="C16" s="3">
        <v>19554.385960845397</v>
      </c>
      <c r="D16" s="3">
        <v>62232.812228781215</v>
      </c>
      <c r="E16" s="3">
        <v>47349.974893882943</v>
      </c>
      <c r="F16" s="3">
        <v>3911.7418605858738</v>
      </c>
      <c r="G16" s="3">
        <v>25259.307504755834</v>
      </c>
      <c r="H16" s="3">
        <v>11326.703703737912</v>
      </c>
      <c r="I16" s="3">
        <v>5984.1885919006336</v>
      </c>
      <c r="J16" s="3">
        <v>5342.5151118372778</v>
      </c>
      <c r="K16" s="3">
        <v>1074.8748048747836</v>
      </c>
      <c r="L16" s="3">
        <v>6814.5169129922988</v>
      </c>
      <c r="M16" s="3">
        <v>39494.870588738508</v>
      </c>
      <c r="N16">
        <v>73487.487816170513</v>
      </c>
      <c r="O16">
        <v>19554.385960845397</v>
      </c>
      <c r="P16">
        <v>62232.812228781215</v>
      </c>
      <c r="Q16">
        <v>47349.974893882943</v>
      </c>
      <c r="R16">
        <v>3911.7418605858738</v>
      </c>
      <c r="S16">
        <v>25259.307504755834</v>
      </c>
      <c r="T16">
        <v>11326.703703737912</v>
      </c>
      <c r="U16">
        <v>5984.1885919006336</v>
      </c>
      <c r="V16">
        <v>5342.5151118372778</v>
      </c>
      <c r="W16">
        <v>1074.8748048747836</v>
      </c>
      <c r="X16">
        <v>6814.5169129922988</v>
      </c>
      <c r="Y16">
        <v>39494.870588738508</v>
      </c>
      <c r="Z16" s="5">
        <f t="shared" si="2"/>
        <v>-8299.7103734560951</v>
      </c>
      <c r="AA16" s="5">
        <f t="shared" si="3"/>
        <v>10971.095474312398</v>
      </c>
      <c r="AB16" s="5">
        <f t="shared" si="4"/>
        <v>6820.6012408306378</v>
      </c>
      <c r="AC16" s="5">
        <f t="shared" si="5"/>
        <v>0</v>
      </c>
      <c r="AD16" s="5">
        <f t="shared" si="6"/>
        <v>-2546.8766060298049</v>
      </c>
      <c r="AE16" s="7">
        <f>((N16-B16)^2)/(Error!B16^2)</f>
        <v>0</v>
      </c>
      <c r="AF16" s="7">
        <f>((O16-C16)^2)/(Error!C16^2)</f>
        <v>0</v>
      </c>
      <c r="AG16" s="7">
        <f>((P16-D16)^2)/(Error!D16^2)</f>
        <v>0</v>
      </c>
      <c r="AH16" s="7">
        <f>((Q16-E16)^2)/(Error!E16^2)</f>
        <v>0</v>
      </c>
      <c r="AI16" s="7">
        <f>((R16-F16)^2)/(Error!F16^2)</f>
        <v>0</v>
      </c>
      <c r="AJ16" s="7">
        <f>((S16-G16)^2)/(Error!G16^2)</f>
        <v>0</v>
      </c>
      <c r="AK16" s="7">
        <f>((T16-H16)^2)/(Error!H16^2)</f>
        <v>0</v>
      </c>
      <c r="AL16" s="7">
        <f>((U16-I16)^2)/(Error!I16^2)</f>
        <v>0</v>
      </c>
      <c r="AM16" s="7">
        <f>((V16-J16)^2)/(Error!J16^2)</f>
        <v>0</v>
      </c>
      <c r="AN16" s="7">
        <f>((W16-K16)^2)/(Error!K16^2)</f>
        <v>0</v>
      </c>
      <c r="AO16" s="7">
        <f>((X16-L16)^2)/(Error!L16^2)</f>
        <v>0</v>
      </c>
      <c r="AP16" s="7">
        <f>((Y16-M16)^2)/(Error!M16^2)</f>
        <v>0</v>
      </c>
      <c r="AQ16" s="8">
        <f t="shared" si="8"/>
        <v>0</v>
      </c>
      <c r="AR16" s="7">
        <f t="shared" si="9"/>
        <v>0</v>
      </c>
      <c r="AS16" s="7">
        <f t="shared" si="1"/>
        <v>0</v>
      </c>
      <c r="AT16" s="7">
        <f t="shared" si="1"/>
        <v>0</v>
      </c>
      <c r="AU16" s="7">
        <f t="shared" si="1"/>
        <v>0</v>
      </c>
      <c r="AV16" s="7">
        <f t="shared" si="1"/>
        <v>0</v>
      </c>
      <c r="AW16" s="7">
        <f t="shared" si="1"/>
        <v>0</v>
      </c>
      <c r="AX16" s="7">
        <f t="shared" si="1"/>
        <v>0</v>
      </c>
      <c r="AY16" s="7">
        <f t="shared" si="1"/>
        <v>0</v>
      </c>
      <c r="AZ16" s="7">
        <f t="shared" si="1"/>
        <v>0</v>
      </c>
      <c r="BA16" s="7">
        <f t="shared" si="1"/>
        <v>0</v>
      </c>
      <c r="BB16" s="7">
        <f t="shared" si="1"/>
        <v>0</v>
      </c>
      <c r="BC16" s="7">
        <f t="shared" si="1"/>
        <v>0</v>
      </c>
    </row>
    <row r="17" spans="1:55" x14ac:dyDescent="0.25">
      <c r="A17">
        <v>14</v>
      </c>
      <c r="B17" s="3">
        <v>67700.26702626083</v>
      </c>
      <c r="C17" s="3">
        <v>19705.746589276459</v>
      </c>
      <c r="D17" s="3">
        <v>55231.661033962177</v>
      </c>
      <c r="E17" s="3">
        <v>43452.238386128985</v>
      </c>
      <c r="F17" s="3">
        <v>3095.5146446325075</v>
      </c>
      <c r="G17" s="3">
        <v>27800.46576305959</v>
      </c>
      <c r="H17" s="3">
        <v>11797.002511896104</v>
      </c>
      <c r="I17" s="3">
        <v>6633.6791731129824</v>
      </c>
      <c r="J17" s="3">
        <v>5163.3233387831206</v>
      </c>
      <c r="K17" s="3">
        <v>860.88268877618748</v>
      </c>
      <c r="L17" s="3">
        <v>6839.6789918934683</v>
      </c>
      <c r="M17" s="3">
        <v>42314.692954657847</v>
      </c>
      <c r="N17">
        <v>67700.26702626083</v>
      </c>
      <c r="O17">
        <v>19705.746589276459</v>
      </c>
      <c r="P17">
        <v>55231.661033962177</v>
      </c>
      <c r="Q17">
        <v>43452.238386128985</v>
      </c>
      <c r="R17">
        <v>3095.5146446325075</v>
      </c>
      <c r="S17">
        <v>27800.46576305959</v>
      </c>
      <c r="T17">
        <v>11797.002511896104</v>
      </c>
      <c r="U17">
        <v>6633.6791731129824</v>
      </c>
      <c r="V17">
        <v>5163.3233387831206</v>
      </c>
      <c r="W17">
        <v>860.88268877618748</v>
      </c>
      <c r="X17">
        <v>6839.6789918934683</v>
      </c>
      <c r="Y17">
        <v>42314.692954657847</v>
      </c>
      <c r="Z17" s="5">
        <f t="shared" si="2"/>
        <v>-7237.1405969778061</v>
      </c>
      <c r="AA17" s="5">
        <f t="shared" si="3"/>
        <v>8683.9080032006841</v>
      </c>
      <c r="AB17" s="5">
        <f t="shared" si="4"/>
        <v>5812.7393243346614</v>
      </c>
      <c r="AC17" s="5">
        <f t="shared" si="5"/>
        <v>0</v>
      </c>
      <c r="AD17" s="5">
        <f t="shared" si="6"/>
        <v>-2537.2383418865352</v>
      </c>
      <c r="AE17" s="7">
        <f>((N17-B17)^2)/(Error!B17^2)</f>
        <v>0</v>
      </c>
      <c r="AF17" s="7">
        <f>((O17-C17)^2)/(Error!C17^2)</f>
        <v>0</v>
      </c>
      <c r="AG17" s="7">
        <f>((P17-D17)^2)/(Error!D17^2)</f>
        <v>0</v>
      </c>
      <c r="AH17" s="7">
        <f>((Q17-E17)^2)/(Error!E17^2)</f>
        <v>0</v>
      </c>
      <c r="AI17" s="7">
        <f>((R17-F17)^2)/(Error!F17^2)</f>
        <v>0</v>
      </c>
      <c r="AJ17" s="7">
        <f>((S17-G17)^2)/(Error!G17^2)</f>
        <v>0</v>
      </c>
      <c r="AK17" s="7">
        <f>((T17-H17)^2)/(Error!H17^2)</f>
        <v>0</v>
      </c>
      <c r="AL17" s="7">
        <f>((U17-I17)^2)/(Error!I17^2)</f>
        <v>0</v>
      </c>
      <c r="AM17" s="7">
        <f>((V17-J17)^2)/(Error!J17^2)</f>
        <v>0</v>
      </c>
      <c r="AN17" s="7">
        <f>((W17-K17)^2)/(Error!K17^2)</f>
        <v>0</v>
      </c>
      <c r="AO17" s="7">
        <f>((X17-L17)^2)/(Error!L17^2)</f>
        <v>0</v>
      </c>
      <c r="AP17" s="7">
        <f>((Y17-M17)^2)/(Error!M17^2)</f>
        <v>0</v>
      </c>
      <c r="AQ17" s="8">
        <f t="shared" si="8"/>
        <v>0</v>
      </c>
      <c r="AR17" s="7">
        <f t="shared" si="9"/>
        <v>0</v>
      </c>
      <c r="AS17" s="7">
        <f t="shared" si="1"/>
        <v>0</v>
      </c>
      <c r="AT17" s="7">
        <f t="shared" si="1"/>
        <v>0</v>
      </c>
      <c r="AU17" s="7">
        <f t="shared" si="1"/>
        <v>0</v>
      </c>
      <c r="AV17" s="7">
        <f t="shared" si="1"/>
        <v>0</v>
      </c>
      <c r="AW17" s="7">
        <f t="shared" si="1"/>
        <v>0</v>
      </c>
      <c r="AX17" s="7">
        <f t="shared" si="1"/>
        <v>0</v>
      </c>
      <c r="AY17" s="7">
        <f t="shared" si="1"/>
        <v>0</v>
      </c>
      <c r="AZ17" s="7">
        <f t="shared" si="1"/>
        <v>0</v>
      </c>
      <c r="BA17" s="7">
        <f t="shared" si="1"/>
        <v>0</v>
      </c>
      <c r="BB17" s="7">
        <f t="shared" si="1"/>
        <v>0</v>
      </c>
      <c r="BC17" s="7">
        <f t="shared" si="1"/>
        <v>0</v>
      </c>
    </row>
    <row r="18" spans="1:55" x14ac:dyDescent="0.25">
      <c r="A18">
        <v>15</v>
      </c>
      <c r="B18" s="3">
        <v>63844.624205261898</v>
      </c>
      <c r="C18" s="3">
        <v>19651.720256839839</v>
      </c>
      <c r="D18" s="3">
        <v>50872.407845264963</v>
      </c>
      <c r="E18" s="3">
        <v>39853.129745099221</v>
      </c>
      <c r="F18" s="3">
        <v>2922.5400848503928</v>
      </c>
      <c r="G18" s="3">
        <v>36713.027841940908</v>
      </c>
      <c r="H18" s="3">
        <v>10635.872329975837</v>
      </c>
      <c r="I18" s="3">
        <v>5965.1319766240113</v>
      </c>
      <c r="J18" s="3">
        <v>4670.7403533518254</v>
      </c>
      <c r="K18" s="3">
        <v>749.62309727202478</v>
      </c>
      <c r="L18" s="3">
        <v>6588.6987320255748</v>
      </c>
      <c r="M18" s="3">
        <v>46954.414032142486</v>
      </c>
      <c r="N18">
        <v>63844.624205261898</v>
      </c>
      <c r="O18">
        <v>19651.720256839839</v>
      </c>
      <c r="P18">
        <v>50872.407845264963</v>
      </c>
      <c r="Q18">
        <v>39853.129745099221</v>
      </c>
      <c r="R18">
        <v>2922.5400848503928</v>
      </c>
      <c r="S18">
        <v>36713.027841940908</v>
      </c>
      <c r="T18">
        <v>10635.872329975837</v>
      </c>
      <c r="U18">
        <v>5965.1319766240113</v>
      </c>
      <c r="V18">
        <v>4670.7403533518254</v>
      </c>
      <c r="W18">
        <v>749.62309727202478</v>
      </c>
      <c r="X18">
        <v>6588.6987320255748</v>
      </c>
      <c r="Y18">
        <v>46954.414032142486</v>
      </c>
      <c r="Z18" s="5">
        <f t="shared" si="2"/>
        <v>-6679.5038968429071</v>
      </c>
      <c r="AA18" s="5">
        <f t="shared" si="3"/>
        <v>8096.7380153153499</v>
      </c>
      <c r="AB18" s="5">
        <f t="shared" si="4"/>
        <v>2528.0539450761335</v>
      </c>
      <c r="AC18" s="5">
        <f t="shared" si="5"/>
        <v>0</v>
      </c>
      <c r="AD18" s="5">
        <f t="shared" si="6"/>
        <v>-2667.5814759457744</v>
      </c>
      <c r="AE18" s="7">
        <f>((N18-B18)^2)/(Error!B18^2)</f>
        <v>0</v>
      </c>
      <c r="AF18" s="7">
        <f>((O18-C18)^2)/(Error!C18^2)</f>
        <v>0</v>
      </c>
      <c r="AG18" s="7">
        <f>((P18-D18)^2)/(Error!D18^2)</f>
        <v>0</v>
      </c>
      <c r="AH18" s="7">
        <f>((Q18-E18)^2)/(Error!E18^2)</f>
        <v>0</v>
      </c>
      <c r="AI18" s="7">
        <f>((R18-F18)^2)/(Error!F18^2)</f>
        <v>0</v>
      </c>
      <c r="AJ18" s="7">
        <f>((S18-G18)^2)/(Error!G18^2)</f>
        <v>0</v>
      </c>
      <c r="AK18" s="7">
        <f>((T18-H18)^2)/(Error!H18^2)</f>
        <v>0</v>
      </c>
      <c r="AL18" s="7">
        <f>((U18-I18)^2)/(Error!I18^2)</f>
        <v>0</v>
      </c>
      <c r="AM18" s="7">
        <f>((V18-J18)^2)/(Error!J18^2)</f>
        <v>0</v>
      </c>
      <c r="AN18" s="7">
        <f>((W18-K18)^2)/(Error!K18^2)</f>
        <v>0</v>
      </c>
      <c r="AO18" s="7">
        <f>((X18-L18)^2)/(Error!L18^2)</f>
        <v>0</v>
      </c>
      <c r="AP18" s="7">
        <f>((Y18-M18)^2)/(Error!M18^2)</f>
        <v>0</v>
      </c>
      <c r="AQ18" s="8">
        <f t="shared" si="8"/>
        <v>0</v>
      </c>
      <c r="AR18" s="7">
        <f t="shared" si="9"/>
        <v>0</v>
      </c>
      <c r="AS18" s="7">
        <f t="shared" si="1"/>
        <v>0</v>
      </c>
      <c r="AT18" s="7">
        <f t="shared" si="1"/>
        <v>0</v>
      </c>
      <c r="AU18" s="7">
        <f t="shared" si="1"/>
        <v>0</v>
      </c>
      <c r="AV18" s="7">
        <f t="shared" si="1"/>
        <v>0</v>
      </c>
      <c r="AW18" s="7">
        <f t="shared" si="1"/>
        <v>0</v>
      </c>
      <c r="AX18" s="7">
        <f t="shared" si="1"/>
        <v>0</v>
      </c>
      <c r="AY18" s="7">
        <f t="shared" si="1"/>
        <v>0</v>
      </c>
      <c r="AZ18" s="7">
        <f t="shared" si="1"/>
        <v>0</v>
      </c>
      <c r="BA18" s="7">
        <f t="shared" si="1"/>
        <v>0</v>
      </c>
      <c r="BB18" s="7">
        <f t="shared" si="1"/>
        <v>0</v>
      </c>
      <c r="BC18" s="7">
        <f t="shared" si="1"/>
        <v>0</v>
      </c>
    </row>
    <row r="19" spans="1:55" x14ac:dyDescent="0.25">
      <c r="A19">
        <v>16</v>
      </c>
      <c r="B19" s="3">
        <v>60808.157298254882</v>
      </c>
      <c r="C19" s="3">
        <v>19237.098318547927</v>
      </c>
      <c r="D19" s="3">
        <v>47605.253028772458</v>
      </c>
      <c r="E19" s="3">
        <v>39703.789380741553</v>
      </c>
      <c r="F19" s="3">
        <v>1149.1328827766365</v>
      </c>
      <c r="G19" s="3">
        <v>39299.254502348478</v>
      </c>
      <c r="H19" s="3">
        <v>9373.9895734377678</v>
      </c>
      <c r="I19" s="3">
        <v>5549.4782675597771</v>
      </c>
      <c r="J19" s="3">
        <v>3824.5113058779912</v>
      </c>
      <c r="K19" s="3">
        <v>896.57074028812826</v>
      </c>
      <c r="L19" s="3">
        <v>5424.1002625030169</v>
      </c>
      <c r="M19" s="3">
        <v>49462.948301754717</v>
      </c>
      <c r="N19">
        <v>60808.157298254882</v>
      </c>
      <c r="O19">
        <v>19237.098318547927</v>
      </c>
      <c r="P19">
        <v>47605.253028772458</v>
      </c>
      <c r="Q19">
        <v>39703.789380741553</v>
      </c>
      <c r="R19">
        <v>1149.1328827766365</v>
      </c>
      <c r="S19">
        <v>39299.254502348478</v>
      </c>
      <c r="T19">
        <v>9373.9895734377678</v>
      </c>
      <c r="U19">
        <v>5549.4782675597771</v>
      </c>
      <c r="V19">
        <v>3824.5113058779912</v>
      </c>
      <c r="W19">
        <v>896.57074028812826</v>
      </c>
      <c r="X19">
        <v>5424.1002625030169</v>
      </c>
      <c r="Y19">
        <v>49462.948301754717</v>
      </c>
      <c r="Z19" s="5">
        <f t="shared" si="2"/>
        <v>-6034.1940490655033</v>
      </c>
      <c r="AA19" s="5">
        <f t="shared" si="3"/>
        <v>6752.330765254269</v>
      </c>
      <c r="AB19" s="5">
        <f t="shared" si="4"/>
        <v>1938.8371087451051</v>
      </c>
      <c r="AC19" s="5">
        <f t="shared" si="5"/>
        <v>0</v>
      </c>
      <c r="AD19" s="5">
        <f t="shared" si="6"/>
        <v>-2496.1596969131542</v>
      </c>
      <c r="AE19" s="7">
        <f>((N19-B19)^2)/(Error!B19^2)</f>
        <v>0</v>
      </c>
      <c r="AF19" s="7">
        <f>((O19-C19)^2)/(Error!C19^2)</f>
        <v>0</v>
      </c>
      <c r="AG19" s="7">
        <f>((P19-D19)^2)/(Error!D19^2)</f>
        <v>0</v>
      </c>
      <c r="AH19" s="7">
        <f>((Q19-E19)^2)/(Error!E19^2)</f>
        <v>0</v>
      </c>
      <c r="AI19" s="7">
        <f>((R19-F19)^2)/(Error!F19^2)</f>
        <v>0</v>
      </c>
      <c r="AJ19" s="7">
        <f>((S19-G19)^2)/(Error!G19^2)</f>
        <v>0</v>
      </c>
      <c r="AK19" s="7">
        <f>((T19-H19)^2)/(Error!H19^2)</f>
        <v>0</v>
      </c>
      <c r="AL19" s="7">
        <f>((U19-I19)^2)/(Error!I19^2)</f>
        <v>0</v>
      </c>
      <c r="AM19" s="7">
        <f>((V19-J19)^2)/(Error!J19^2)</f>
        <v>0</v>
      </c>
      <c r="AN19" s="7">
        <f>((W19-K19)^2)/(Error!K19^2)</f>
        <v>0</v>
      </c>
      <c r="AO19" s="7">
        <f>((X19-L19)^2)/(Error!L19^2)</f>
        <v>0</v>
      </c>
      <c r="AP19" s="7">
        <f>((Y19-M19)^2)/(Error!M19^2)</f>
        <v>0</v>
      </c>
      <c r="AQ19" s="8">
        <f t="shared" si="8"/>
        <v>0</v>
      </c>
      <c r="AR19" s="7">
        <f t="shared" si="9"/>
        <v>0</v>
      </c>
      <c r="AS19" s="7">
        <f t="shared" si="1"/>
        <v>0</v>
      </c>
      <c r="AT19" s="7">
        <f t="shared" si="1"/>
        <v>0</v>
      </c>
      <c r="AU19" s="7">
        <f t="shared" si="1"/>
        <v>0</v>
      </c>
      <c r="AV19" s="7">
        <f t="shared" si="1"/>
        <v>0</v>
      </c>
      <c r="AW19" s="7">
        <f t="shared" si="1"/>
        <v>0</v>
      </c>
      <c r="AX19" s="7">
        <f t="shared" si="1"/>
        <v>0</v>
      </c>
      <c r="AY19" s="7">
        <f t="shared" si="1"/>
        <v>0</v>
      </c>
      <c r="AZ19" s="7">
        <f t="shared" si="1"/>
        <v>0</v>
      </c>
      <c r="BA19" s="7">
        <f t="shared" si="1"/>
        <v>0</v>
      </c>
      <c r="BB19" s="7">
        <f t="shared" si="1"/>
        <v>0</v>
      </c>
      <c r="BC19" s="7">
        <f t="shared" si="1"/>
        <v>0</v>
      </c>
    </row>
    <row r="20" spans="1:55" x14ac:dyDescent="0.25">
      <c r="A20">
        <v>17</v>
      </c>
      <c r="B20" s="3">
        <v>57619.784172065476</v>
      </c>
      <c r="C20" s="3">
        <v>18825.965165058533</v>
      </c>
      <c r="D20" s="3">
        <v>44215.480087160475</v>
      </c>
      <c r="E20" s="3">
        <v>36877.94084123517</v>
      </c>
      <c r="F20" s="3">
        <v>657.29280036460318</v>
      </c>
      <c r="G20" s="3">
        <v>37138.567606368684</v>
      </c>
      <c r="H20" s="3">
        <v>10244.59473634021</v>
      </c>
      <c r="I20" s="3">
        <v>5807.4784353152754</v>
      </c>
      <c r="J20" s="3">
        <v>4437.1163010249338</v>
      </c>
      <c r="K20" s="3">
        <v>747.01986608319794</v>
      </c>
      <c r="L20" s="3">
        <v>6264.2263386128388</v>
      </c>
      <c r="M20" s="3">
        <v>54349.261178027657</v>
      </c>
      <c r="N20">
        <v>57619.784172065476</v>
      </c>
      <c r="O20">
        <v>18825.965165058533</v>
      </c>
      <c r="P20">
        <v>44215.480087160475</v>
      </c>
      <c r="Q20">
        <v>36877.94084123517</v>
      </c>
      <c r="R20">
        <v>657.29280036460318</v>
      </c>
      <c r="S20">
        <v>37138.567606368684</v>
      </c>
      <c r="T20">
        <v>10244.59473634021</v>
      </c>
      <c r="U20">
        <v>5807.4784353152754</v>
      </c>
      <c r="V20">
        <v>4437.1163010249338</v>
      </c>
      <c r="W20">
        <v>747.01986608319794</v>
      </c>
      <c r="X20">
        <v>6264.2263386128388</v>
      </c>
      <c r="Y20">
        <v>54349.261178027657</v>
      </c>
      <c r="Z20" s="5">
        <f t="shared" si="2"/>
        <v>-5421.6610801535353</v>
      </c>
      <c r="AA20" s="5">
        <f t="shared" si="3"/>
        <v>6680.2464455607023</v>
      </c>
      <c r="AB20" s="5">
        <f t="shared" si="4"/>
        <v>7623.3916356833633</v>
      </c>
      <c r="AC20" s="5">
        <f t="shared" si="5"/>
        <v>0</v>
      </c>
      <c r="AD20" s="5">
        <f t="shared" si="6"/>
        <v>-2574.129903671103</v>
      </c>
      <c r="AE20" s="7">
        <f>((N20-B20)^2)/(Error!B20^2)</f>
        <v>0</v>
      </c>
      <c r="AF20" s="7">
        <f>((O20-C20)^2)/(Error!C20^2)</f>
        <v>0</v>
      </c>
      <c r="AG20" s="7">
        <f>((P20-D20)^2)/(Error!D20^2)</f>
        <v>0</v>
      </c>
      <c r="AH20" s="7">
        <f>((Q20-E20)^2)/(Error!E20^2)</f>
        <v>0</v>
      </c>
      <c r="AI20" s="7">
        <f>((R20-F20)^2)/(Error!F20^2)</f>
        <v>0</v>
      </c>
      <c r="AJ20" s="7">
        <f>((S20-G20)^2)/(Error!G20^2)</f>
        <v>0</v>
      </c>
      <c r="AK20" s="7">
        <f>((T20-H20)^2)/(Error!H20^2)</f>
        <v>0</v>
      </c>
      <c r="AL20" s="7">
        <f>((U20-I20)^2)/(Error!I20^2)</f>
        <v>0</v>
      </c>
      <c r="AM20" s="7">
        <f>((V20-J20)^2)/(Error!J20^2)</f>
        <v>0</v>
      </c>
      <c r="AN20" s="7">
        <f>((W20-K20)^2)/(Error!K20^2)</f>
        <v>0</v>
      </c>
      <c r="AO20" s="7">
        <f>((X20-L20)^2)/(Error!L20^2)</f>
        <v>0</v>
      </c>
      <c r="AP20" s="7">
        <f>((Y20-M20)^2)/(Error!M20^2)</f>
        <v>0</v>
      </c>
      <c r="AQ20" s="8">
        <f t="shared" si="8"/>
        <v>0</v>
      </c>
      <c r="AR20" s="7">
        <f t="shared" si="9"/>
        <v>0</v>
      </c>
      <c r="AS20" s="7">
        <f t="shared" ref="AS20:AS30" si="10">+SQRT(AF20)*SIGN(C20-O20)</f>
        <v>0</v>
      </c>
      <c r="AT20" s="7">
        <f t="shared" ref="AT20:AT30" si="11">+SQRT(AG20)*SIGN(D20-P20)</f>
        <v>0</v>
      </c>
      <c r="AU20" s="7">
        <f t="shared" ref="AU20:AU30" si="12">+SQRT(AH20)*SIGN(E20-Q20)</f>
        <v>0</v>
      </c>
      <c r="AV20" s="7">
        <f t="shared" ref="AV20:AV30" si="13">+SQRT(AI20)*SIGN(F20-R20)</f>
        <v>0</v>
      </c>
      <c r="AW20" s="7">
        <f t="shared" ref="AW20:AW30" si="14">+SQRT(AJ20)*SIGN(G20-S20)</f>
        <v>0</v>
      </c>
      <c r="AX20" s="7">
        <f t="shared" ref="AX20:AX30" si="15">+SQRT(AK20)*SIGN(H20-T20)</f>
        <v>0</v>
      </c>
      <c r="AY20" s="7">
        <f t="shared" ref="AY20:AY30" si="16">+SQRT(AL20)*SIGN(I20-U20)</f>
        <v>0</v>
      </c>
      <c r="AZ20" s="7">
        <f t="shared" ref="AZ20:AZ30" si="17">+SQRT(AM20)*SIGN(J20-V20)</f>
        <v>0</v>
      </c>
      <c r="BA20" s="7">
        <f t="shared" ref="BA20:BA30" si="18">+SQRT(AN20)*SIGN(K20-W20)</f>
        <v>0</v>
      </c>
      <c r="BB20" s="7">
        <f t="shared" ref="BB20:BB30" si="19">+SQRT(AO20)*SIGN(L20-X20)</f>
        <v>0</v>
      </c>
      <c r="BC20" s="7">
        <f t="shared" ref="BC20:BC30" si="20">+SQRT(AP20)*SIGN(M20-Y20)</f>
        <v>0</v>
      </c>
    </row>
    <row r="21" spans="1:55" x14ac:dyDescent="0.25">
      <c r="A21">
        <v>18</v>
      </c>
      <c r="B21" s="3">
        <v>65991.92622819524</v>
      </c>
      <c r="C21" s="3">
        <v>20312.945569836244</v>
      </c>
      <c r="D21" s="3">
        <v>52203.107872138462</v>
      </c>
      <c r="E21" s="3">
        <v>40821.033356424748</v>
      </c>
      <c r="F21" s="3">
        <v>2820.9597245253958</v>
      </c>
      <c r="G21" s="3">
        <v>35087.817419784449</v>
      </c>
      <c r="H21" s="3">
        <v>10377.943880995063</v>
      </c>
      <c r="I21" s="3">
        <v>5905.9103802536283</v>
      </c>
      <c r="J21" s="3">
        <v>4472.0335007414342</v>
      </c>
      <c r="K21" s="3">
        <v>564.96419107031932</v>
      </c>
      <c r="L21" s="3">
        <v>6667.6289314503329</v>
      </c>
      <c r="M21" s="3">
        <v>45451.366674481455</v>
      </c>
      <c r="N21">
        <v>65991.92622819524</v>
      </c>
      <c r="O21">
        <v>20312.945569836244</v>
      </c>
      <c r="P21">
        <v>52203.107872138462</v>
      </c>
      <c r="Q21">
        <v>40821.033356424748</v>
      </c>
      <c r="R21">
        <v>2820.9597245253958</v>
      </c>
      <c r="S21">
        <v>35087.817419784449</v>
      </c>
      <c r="T21">
        <v>10377.943880995063</v>
      </c>
      <c r="U21">
        <v>5905.9103802536283</v>
      </c>
      <c r="V21">
        <v>4472.0335007414342</v>
      </c>
      <c r="W21">
        <v>564.96419107031932</v>
      </c>
      <c r="X21">
        <v>6667.6289314503329</v>
      </c>
      <c r="Y21">
        <v>45451.366674481455</v>
      </c>
      <c r="Z21" s="5">
        <f t="shared" si="2"/>
        <v>-6524.1272137794658</v>
      </c>
      <c r="AA21" s="5">
        <f t="shared" si="3"/>
        <v>8561.1147911883181</v>
      </c>
      <c r="AB21" s="5">
        <f t="shared" si="4"/>
        <v>2806.5650982273401</v>
      </c>
      <c r="AC21" s="5">
        <f t="shared" si="5"/>
        <v>0</v>
      </c>
      <c r="AD21" s="5">
        <f t="shared" si="6"/>
        <v>-2760.5596217792181</v>
      </c>
      <c r="AE21" s="7">
        <f>((N21-B21)^2)/(Error!B21^2)</f>
        <v>0</v>
      </c>
      <c r="AF21" s="7">
        <f>((O21-C21)^2)/(Error!C21^2)</f>
        <v>0</v>
      </c>
      <c r="AG21" s="7">
        <f>((P21-D21)^2)/(Error!D21^2)</f>
        <v>0</v>
      </c>
      <c r="AH21" s="7">
        <f>((Q21-E21)^2)/(Error!E21^2)</f>
        <v>0</v>
      </c>
      <c r="AI21" s="7">
        <f>((R21-F21)^2)/(Error!F21^2)</f>
        <v>0</v>
      </c>
      <c r="AJ21" s="7">
        <f>((S21-G21)^2)/(Error!G21^2)</f>
        <v>0</v>
      </c>
      <c r="AK21" s="7">
        <f>((T21-H21)^2)/(Error!H21^2)</f>
        <v>0</v>
      </c>
      <c r="AL21" s="7">
        <f>((U21-I21)^2)/(Error!I21^2)</f>
        <v>0</v>
      </c>
      <c r="AM21" s="7">
        <f>((V21-J21)^2)/(Error!J21^2)</f>
        <v>0</v>
      </c>
      <c r="AN21" s="7">
        <f>((W21-K21)^2)/(Error!K21^2)</f>
        <v>0</v>
      </c>
      <c r="AO21" s="7">
        <f>((X21-L21)^2)/(Error!L21^2)</f>
        <v>0</v>
      </c>
      <c r="AP21" s="7">
        <f>((Y21-M21)^2)/(Error!M21^2)</f>
        <v>0</v>
      </c>
      <c r="AQ21" s="8">
        <f t="shared" si="8"/>
        <v>0</v>
      </c>
      <c r="AR21" s="7">
        <f t="shared" si="9"/>
        <v>0</v>
      </c>
      <c r="AS21" s="7">
        <f t="shared" si="10"/>
        <v>0</v>
      </c>
      <c r="AT21" s="7">
        <f t="shared" si="11"/>
        <v>0</v>
      </c>
      <c r="AU21" s="7">
        <f t="shared" si="12"/>
        <v>0</v>
      </c>
      <c r="AV21" s="7">
        <f t="shared" si="13"/>
        <v>0</v>
      </c>
      <c r="AW21" s="7">
        <f t="shared" si="14"/>
        <v>0</v>
      </c>
      <c r="AX21" s="7">
        <f t="shared" si="15"/>
        <v>0</v>
      </c>
      <c r="AY21" s="7">
        <f t="shared" si="16"/>
        <v>0</v>
      </c>
      <c r="AZ21" s="7">
        <f t="shared" si="17"/>
        <v>0</v>
      </c>
      <c r="BA21" s="7">
        <f t="shared" si="18"/>
        <v>0</v>
      </c>
      <c r="BB21" s="7">
        <f t="shared" si="19"/>
        <v>0</v>
      </c>
      <c r="BC21" s="7">
        <f t="shared" si="20"/>
        <v>0</v>
      </c>
    </row>
    <row r="22" spans="1:55" x14ac:dyDescent="0.25">
      <c r="A22">
        <v>19</v>
      </c>
      <c r="B22" s="3">
        <v>63204.632449571822</v>
      </c>
      <c r="C22" s="3">
        <v>18060.479622928036</v>
      </c>
      <c r="D22" s="3">
        <v>48965.990444402021</v>
      </c>
      <c r="E22" s="3">
        <v>38879.573947185039</v>
      </c>
      <c r="F22" s="3">
        <v>2627.7020861072838</v>
      </c>
      <c r="G22" s="3">
        <v>35968.610484908007</v>
      </c>
      <c r="H22" s="3">
        <v>11016.236917833663</v>
      </c>
      <c r="I22" s="3">
        <v>6066.2794942960127</v>
      </c>
      <c r="J22" s="3">
        <v>4949.9574235376504</v>
      </c>
      <c r="K22" s="3">
        <v>1324.5502419808088</v>
      </c>
      <c r="L22" s="3">
        <v>6047.6170858336309</v>
      </c>
      <c r="M22" s="3">
        <v>47924.912475511519</v>
      </c>
      <c r="N22">
        <v>63204.632449571822</v>
      </c>
      <c r="O22">
        <v>18060.479622928036</v>
      </c>
      <c r="P22">
        <v>48965.990444402021</v>
      </c>
      <c r="Q22">
        <v>38879.573947185039</v>
      </c>
      <c r="R22">
        <v>2627.7020861072838</v>
      </c>
      <c r="S22">
        <v>35968.610484908007</v>
      </c>
      <c r="T22">
        <v>11016.236917833663</v>
      </c>
      <c r="U22">
        <v>6066.2794942960127</v>
      </c>
      <c r="V22">
        <v>4949.9574235376504</v>
      </c>
      <c r="W22">
        <v>1324.5502419808088</v>
      </c>
      <c r="X22">
        <v>6047.6170858336309</v>
      </c>
      <c r="Y22">
        <v>47924.912475511519</v>
      </c>
      <c r="Z22" s="5">
        <f t="shared" si="2"/>
        <v>-3821.8376177582395</v>
      </c>
      <c r="AA22" s="5">
        <f t="shared" si="3"/>
        <v>7458.7144111096986</v>
      </c>
      <c r="AB22" s="5">
        <f t="shared" si="4"/>
        <v>3567.76715887713</v>
      </c>
      <c r="AC22" s="5">
        <f t="shared" si="5"/>
        <v>0</v>
      </c>
      <c r="AD22" s="5">
        <f t="shared" si="6"/>
        <v>-2422.2099042767895</v>
      </c>
      <c r="AE22" s="7">
        <f>((N22-B22)^2)/(Error!B22^2)</f>
        <v>0</v>
      </c>
      <c r="AF22" s="7">
        <f>((O22-C22)^2)/(Error!C22^2)</f>
        <v>0</v>
      </c>
      <c r="AG22" s="7">
        <f>((P22-D22)^2)/(Error!D22^2)</f>
        <v>0</v>
      </c>
      <c r="AH22" s="7">
        <f>((Q22-E22)^2)/(Error!E22^2)</f>
        <v>0</v>
      </c>
      <c r="AI22" s="7">
        <f>((R22-F22)^2)/(Error!F22^2)</f>
        <v>0</v>
      </c>
      <c r="AJ22" s="7">
        <f>((S22-G22)^2)/(Error!G22^2)</f>
        <v>0</v>
      </c>
      <c r="AK22" s="7">
        <f>((T22-H22)^2)/(Error!H22^2)</f>
        <v>0</v>
      </c>
      <c r="AL22" s="7">
        <f>((U22-I22)^2)/(Error!I22^2)</f>
        <v>0</v>
      </c>
      <c r="AM22" s="7">
        <f>((V22-J22)^2)/(Error!J22^2)</f>
        <v>0</v>
      </c>
      <c r="AN22" s="7">
        <f>((W22-K22)^2)/(Error!K22^2)</f>
        <v>0</v>
      </c>
      <c r="AO22" s="7">
        <f>((X22-L22)^2)/(Error!L22^2)</f>
        <v>0</v>
      </c>
      <c r="AP22" s="7">
        <f>((Y22-M22)^2)/(Error!M22^2)</f>
        <v>0</v>
      </c>
      <c r="AQ22" s="8">
        <f t="shared" si="8"/>
        <v>0</v>
      </c>
      <c r="AR22" s="7">
        <f t="shared" si="9"/>
        <v>0</v>
      </c>
      <c r="AS22" s="7">
        <f t="shared" si="10"/>
        <v>0</v>
      </c>
      <c r="AT22" s="7">
        <f t="shared" si="11"/>
        <v>0</v>
      </c>
      <c r="AU22" s="7">
        <f t="shared" si="12"/>
        <v>0</v>
      </c>
      <c r="AV22" s="7">
        <f t="shared" si="13"/>
        <v>0</v>
      </c>
      <c r="AW22" s="7">
        <f t="shared" si="14"/>
        <v>0</v>
      </c>
      <c r="AX22" s="7">
        <f t="shared" si="15"/>
        <v>0</v>
      </c>
      <c r="AY22" s="7">
        <f t="shared" si="16"/>
        <v>0</v>
      </c>
      <c r="AZ22" s="7">
        <f t="shared" si="17"/>
        <v>0</v>
      </c>
      <c r="BA22" s="7">
        <f t="shared" si="18"/>
        <v>0</v>
      </c>
      <c r="BB22" s="7">
        <f t="shared" si="19"/>
        <v>0</v>
      </c>
      <c r="BC22" s="7">
        <f t="shared" si="20"/>
        <v>0</v>
      </c>
    </row>
    <row r="23" spans="1:55" x14ac:dyDescent="0.25">
      <c r="A23">
        <v>20</v>
      </c>
      <c r="B23" s="3">
        <v>61079.346387165759</v>
      </c>
      <c r="C23" s="3">
        <v>15593.859638803102</v>
      </c>
      <c r="D23" s="3">
        <v>52043.805774105225</v>
      </c>
      <c r="E23" s="3">
        <v>40543.119607470231</v>
      </c>
      <c r="F23" s="3">
        <v>2689.2143352050375</v>
      </c>
      <c r="G23" s="3">
        <v>37074.501650945131</v>
      </c>
      <c r="H23" s="3">
        <v>12921.152968306485</v>
      </c>
      <c r="I23" s="3">
        <v>6117.2384147248467</v>
      </c>
      <c r="J23" s="3">
        <v>6803.9145535816378</v>
      </c>
      <c r="K23" s="3">
        <v>1329.2196812212508</v>
      </c>
      <c r="L23" s="3">
        <v>8244.4820391959165</v>
      </c>
      <c r="M23" s="3">
        <v>50315.095354345147</v>
      </c>
      <c r="N23">
        <v>61079.346387165759</v>
      </c>
      <c r="O23">
        <v>15593.859638803102</v>
      </c>
      <c r="P23">
        <v>52043.805774105225</v>
      </c>
      <c r="Q23">
        <v>40543.119607470231</v>
      </c>
      <c r="R23">
        <v>2689.2143352050375</v>
      </c>
      <c r="S23">
        <v>37074.501650945131</v>
      </c>
      <c r="T23">
        <v>12921.152968306485</v>
      </c>
      <c r="U23">
        <v>6117.2384147248467</v>
      </c>
      <c r="V23">
        <v>6803.9145535816378</v>
      </c>
      <c r="W23">
        <v>1329.2196812212508</v>
      </c>
      <c r="X23">
        <v>8244.4820391959165</v>
      </c>
      <c r="Y23">
        <v>50315.095354345147</v>
      </c>
      <c r="Z23" s="5">
        <f t="shared" si="2"/>
        <v>-6558.3190257425667</v>
      </c>
      <c r="AA23" s="5">
        <f t="shared" si="3"/>
        <v>8811.4718314299571</v>
      </c>
      <c r="AB23" s="5">
        <f t="shared" si="4"/>
        <v>3008.6550702985714</v>
      </c>
      <c r="AC23" s="5">
        <f t="shared" si="5"/>
        <v>0</v>
      </c>
      <c r="AD23" s="5">
        <f t="shared" si="6"/>
        <v>-2769.7871668355292</v>
      </c>
      <c r="AE23" s="7">
        <f>((N23-B23)^2)/(Error!B23^2)</f>
        <v>0</v>
      </c>
      <c r="AF23" s="7">
        <f>((O23-C23)^2)/(Error!C23^2)</f>
        <v>0</v>
      </c>
      <c r="AG23" s="7">
        <f>((P23-D23)^2)/(Error!D23^2)</f>
        <v>0</v>
      </c>
      <c r="AH23" s="7">
        <f>((Q23-E23)^2)/(Error!E23^2)</f>
        <v>0</v>
      </c>
      <c r="AI23" s="7">
        <f>((R23-F23)^2)/(Error!F23^2)</f>
        <v>0</v>
      </c>
      <c r="AJ23" s="7">
        <f>((S23-G23)^2)/(Error!G23^2)</f>
        <v>0</v>
      </c>
      <c r="AK23" s="7">
        <f>((T23-H23)^2)/(Error!H23^2)</f>
        <v>0</v>
      </c>
      <c r="AL23" s="7">
        <f>((U23-I23)^2)/(Error!I23^2)</f>
        <v>0</v>
      </c>
      <c r="AM23" s="7">
        <f>((V23-J23)^2)/(Error!J23^2)</f>
        <v>0</v>
      </c>
      <c r="AN23" s="7">
        <f>((W23-K23)^2)/(Error!K23^2)</f>
        <v>0</v>
      </c>
      <c r="AO23" s="7">
        <f>((X23-L23)^2)/(Error!L23^2)</f>
        <v>0</v>
      </c>
      <c r="AP23" s="7">
        <f>((Y23-M23)^2)/(Error!M23^2)</f>
        <v>0</v>
      </c>
      <c r="AQ23" s="8">
        <f t="shared" si="8"/>
        <v>0</v>
      </c>
      <c r="AR23" s="7">
        <f t="shared" si="9"/>
        <v>0</v>
      </c>
      <c r="AS23" s="7">
        <f t="shared" si="10"/>
        <v>0</v>
      </c>
      <c r="AT23" s="7">
        <f t="shared" si="11"/>
        <v>0</v>
      </c>
      <c r="AU23" s="7">
        <f t="shared" si="12"/>
        <v>0</v>
      </c>
      <c r="AV23" s="7">
        <f t="shared" si="13"/>
        <v>0</v>
      </c>
      <c r="AW23" s="7">
        <f t="shared" si="14"/>
        <v>0</v>
      </c>
      <c r="AX23" s="7">
        <f t="shared" si="15"/>
        <v>0</v>
      </c>
      <c r="AY23" s="7">
        <f t="shared" si="16"/>
        <v>0</v>
      </c>
      <c r="AZ23" s="7">
        <f t="shared" si="17"/>
        <v>0</v>
      </c>
      <c r="BA23" s="7">
        <f t="shared" si="18"/>
        <v>0</v>
      </c>
      <c r="BB23" s="7">
        <f t="shared" si="19"/>
        <v>0</v>
      </c>
      <c r="BC23" s="7">
        <f t="shared" si="20"/>
        <v>0</v>
      </c>
    </row>
    <row r="24" spans="1:55" x14ac:dyDescent="0.25">
      <c r="A24">
        <v>21</v>
      </c>
      <c r="B24" s="3">
        <v>76959.929509226786</v>
      </c>
      <c r="C24" s="3">
        <v>18075.160513763054</v>
      </c>
      <c r="D24" s="3">
        <v>68334.870591920349</v>
      </c>
      <c r="E24" s="3">
        <v>49280.705714916548</v>
      </c>
      <c r="F24" s="3">
        <v>5878.0976143660455</v>
      </c>
      <c r="G24" s="3">
        <v>20559.267801544214</v>
      </c>
      <c r="H24" s="3">
        <v>11914.899322315907</v>
      </c>
      <c r="I24" s="3">
        <v>6083.0289164650212</v>
      </c>
      <c r="J24" s="3">
        <v>5831.8704058508847</v>
      </c>
      <c r="K24" s="3">
        <v>847.08319518148392</v>
      </c>
      <c r="L24" s="3">
        <v>7831.4993834972156</v>
      </c>
      <c r="M24" s="3">
        <v>31167.593109811478</v>
      </c>
      <c r="N24">
        <v>76959.929509226786</v>
      </c>
      <c r="O24">
        <v>18075.160513763054</v>
      </c>
      <c r="P24">
        <v>68334.870591920349</v>
      </c>
      <c r="Q24">
        <v>49280.705714916548</v>
      </c>
      <c r="R24">
        <v>5878.0976143660455</v>
      </c>
      <c r="S24">
        <v>20559.267801544214</v>
      </c>
      <c r="T24">
        <v>11914.899322315907</v>
      </c>
      <c r="U24">
        <v>6083.0289164650212</v>
      </c>
      <c r="V24">
        <v>5831.8704058508847</v>
      </c>
      <c r="W24">
        <v>847.08319518148392</v>
      </c>
      <c r="X24">
        <v>7831.4993834972156</v>
      </c>
      <c r="Y24">
        <v>31167.593109811478</v>
      </c>
      <c r="Z24" s="5">
        <f t="shared" si="2"/>
        <v>-9450.1015964566177</v>
      </c>
      <c r="AA24" s="5">
        <f t="shared" si="3"/>
        <v>13176.067262637756</v>
      </c>
      <c r="AB24" s="5">
        <f t="shared" si="4"/>
        <v>4571.523600317405</v>
      </c>
      <c r="AC24" s="5">
        <f t="shared" si="5"/>
        <v>0</v>
      </c>
      <c r="AD24" s="5">
        <f t="shared" si="6"/>
        <v>-2846.7121728278148</v>
      </c>
      <c r="AE24" s="7">
        <f>((N24-B24)^2)/(Error!B24^2)</f>
        <v>0</v>
      </c>
      <c r="AF24" s="7">
        <f>((O24-C24)^2)/(Error!C24^2)</f>
        <v>0</v>
      </c>
      <c r="AG24" s="7">
        <f>((P24-D24)^2)/(Error!D24^2)</f>
        <v>0</v>
      </c>
      <c r="AH24" s="7">
        <f>((Q24-E24)^2)/(Error!E24^2)</f>
        <v>0</v>
      </c>
      <c r="AI24" s="7">
        <f>((R24-F24)^2)/(Error!F24^2)</f>
        <v>0</v>
      </c>
      <c r="AJ24" s="7">
        <f>((S24-G24)^2)/(Error!G24^2)</f>
        <v>0</v>
      </c>
      <c r="AK24" s="7">
        <f>((T24-H24)^2)/(Error!H24^2)</f>
        <v>0</v>
      </c>
      <c r="AL24" s="7">
        <f>((U24-I24)^2)/(Error!I24^2)</f>
        <v>0</v>
      </c>
      <c r="AM24" s="7">
        <f>((V24-J24)^2)/(Error!J24^2)</f>
        <v>0</v>
      </c>
      <c r="AN24" s="7">
        <f>((W24-K24)^2)/(Error!K24^2)</f>
        <v>0</v>
      </c>
      <c r="AO24" s="7">
        <f>((X24-L24)^2)/(Error!L24^2)</f>
        <v>0</v>
      </c>
      <c r="AP24" s="7">
        <f>((Y24-M24)^2)/(Error!M24^2)</f>
        <v>0</v>
      </c>
      <c r="AQ24" s="8">
        <f t="shared" si="8"/>
        <v>0</v>
      </c>
      <c r="AR24" s="7">
        <f t="shared" si="9"/>
        <v>0</v>
      </c>
      <c r="AS24" s="7">
        <f t="shared" si="10"/>
        <v>0</v>
      </c>
      <c r="AT24" s="7">
        <f t="shared" si="11"/>
        <v>0</v>
      </c>
      <c r="AU24" s="7">
        <f t="shared" si="12"/>
        <v>0</v>
      </c>
      <c r="AV24" s="7">
        <f t="shared" si="13"/>
        <v>0</v>
      </c>
      <c r="AW24" s="7">
        <f t="shared" si="14"/>
        <v>0</v>
      </c>
      <c r="AX24" s="7">
        <f t="shared" si="15"/>
        <v>0</v>
      </c>
      <c r="AY24" s="7">
        <f t="shared" si="16"/>
        <v>0</v>
      </c>
      <c r="AZ24" s="7">
        <f t="shared" si="17"/>
        <v>0</v>
      </c>
      <c r="BA24" s="7">
        <f t="shared" si="18"/>
        <v>0</v>
      </c>
      <c r="BB24" s="7">
        <f t="shared" si="19"/>
        <v>0</v>
      </c>
      <c r="BC24" s="7">
        <f t="shared" si="20"/>
        <v>0</v>
      </c>
    </row>
    <row r="25" spans="1:55" x14ac:dyDescent="0.25">
      <c r="A25">
        <v>22</v>
      </c>
      <c r="B25" s="3">
        <v>76187.175701228975</v>
      </c>
      <c r="C25" s="3">
        <v>18558.106153343284</v>
      </c>
      <c r="D25" s="3">
        <v>66805.309855205356</v>
      </c>
      <c r="E25" s="3">
        <v>49092.349943421468</v>
      </c>
      <c r="F25" s="3">
        <v>5284.2217717416506</v>
      </c>
      <c r="G25" s="3">
        <v>15831.037646445082</v>
      </c>
      <c r="H25" s="3">
        <v>10003.268975337676</v>
      </c>
      <c r="I25" s="3">
        <v>5495.7884092145723</v>
      </c>
      <c r="J25" s="3">
        <v>4507.4805661231039</v>
      </c>
      <c r="K25" s="3">
        <v>600.46267829462886</v>
      </c>
      <c r="L25" s="3">
        <v>6790.7356178828459</v>
      </c>
      <c r="M25" s="3">
        <v>28342.103202013033</v>
      </c>
      <c r="N25">
        <v>76187.175701228975</v>
      </c>
      <c r="O25">
        <v>18558.106153343284</v>
      </c>
      <c r="P25">
        <v>66805.309855205356</v>
      </c>
      <c r="Q25">
        <v>49092.349943421468</v>
      </c>
      <c r="R25">
        <v>5284.2217717416506</v>
      </c>
      <c r="S25">
        <v>15831.037646445082</v>
      </c>
      <c r="T25">
        <v>10003.268975337676</v>
      </c>
      <c r="U25">
        <v>5495.7884092145723</v>
      </c>
      <c r="V25">
        <v>4507.4805661231039</v>
      </c>
      <c r="W25">
        <v>600.46267829462886</v>
      </c>
      <c r="X25">
        <v>6790.7356178828459</v>
      </c>
      <c r="Y25">
        <v>28342.103202013033</v>
      </c>
      <c r="Z25" s="5">
        <f t="shared" si="2"/>
        <v>-9176.240307319662</v>
      </c>
      <c r="AA25" s="5">
        <f t="shared" si="3"/>
        <v>12428.738140042238</v>
      </c>
      <c r="AB25" s="5">
        <f t="shared" si="4"/>
        <v>7792.0183519719285</v>
      </c>
      <c r="AC25" s="5">
        <f t="shared" si="5"/>
        <v>0</v>
      </c>
      <c r="AD25" s="5">
        <f t="shared" si="6"/>
        <v>-2883.7177300543708</v>
      </c>
      <c r="AE25" s="7">
        <f>((N25-B25)^2)/(Error!B25^2)</f>
        <v>0</v>
      </c>
      <c r="AF25" s="7">
        <f>((O25-C25)^2)/(Error!C25^2)</f>
        <v>0</v>
      </c>
      <c r="AG25" s="7">
        <f>((P25-D25)^2)/(Error!D25^2)</f>
        <v>0</v>
      </c>
      <c r="AH25" s="7">
        <f>((Q25-E25)^2)/(Error!E25^2)</f>
        <v>0</v>
      </c>
      <c r="AI25" s="7">
        <f>((R25-F25)^2)/(Error!F25^2)</f>
        <v>0</v>
      </c>
      <c r="AJ25" s="7">
        <f>((S25-G25)^2)/(Error!G25^2)</f>
        <v>0</v>
      </c>
      <c r="AK25" s="7">
        <f>((T25-H25)^2)/(Error!H25^2)</f>
        <v>0</v>
      </c>
      <c r="AL25" s="7">
        <f>((U25-I25)^2)/(Error!I25^2)</f>
        <v>0</v>
      </c>
      <c r="AM25" s="7">
        <f>((V25-J25)^2)/(Error!J25^2)</f>
        <v>0</v>
      </c>
      <c r="AN25" s="7">
        <f>((W25-K25)^2)/(Error!K25^2)</f>
        <v>0</v>
      </c>
      <c r="AO25" s="7">
        <f>((X25-L25)^2)/(Error!L25^2)</f>
        <v>0</v>
      </c>
      <c r="AP25" s="7">
        <f>((Y25-M25)^2)/(Error!M25^2)</f>
        <v>0</v>
      </c>
      <c r="AQ25" s="8">
        <f t="shared" si="8"/>
        <v>0</v>
      </c>
      <c r="AR25" s="7">
        <f t="shared" si="9"/>
        <v>0</v>
      </c>
      <c r="AS25" s="7">
        <f t="shared" si="10"/>
        <v>0</v>
      </c>
      <c r="AT25" s="7">
        <f t="shared" si="11"/>
        <v>0</v>
      </c>
      <c r="AU25" s="7">
        <f t="shared" si="12"/>
        <v>0</v>
      </c>
      <c r="AV25" s="7">
        <f t="shared" si="13"/>
        <v>0</v>
      </c>
      <c r="AW25" s="7">
        <f t="shared" si="14"/>
        <v>0</v>
      </c>
      <c r="AX25" s="7">
        <f t="shared" si="15"/>
        <v>0</v>
      </c>
      <c r="AY25" s="7">
        <f t="shared" si="16"/>
        <v>0</v>
      </c>
      <c r="AZ25" s="7">
        <f t="shared" si="17"/>
        <v>0</v>
      </c>
      <c r="BA25" s="7">
        <f t="shared" si="18"/>
        <v>0</v>
      </c>
      <c r="BB25" s="7">
        <f t="shared" si="19"/>
        <v>0</v>
      </c>
      <c r="BC25" s="7">
        <f t="shared" si="20"/>
        <v>0</v>
      </c>
    </row>
    <row r="26" spans="1:55" x14ac:dyDescent="0.25">
      <c r="A26">
        <v>23</v>
      </c>
      <c r="B26" s="3">
        <v>74327.237296538937</v>
      </c>
      <c r="C26" s="3">
        <v>18389.213761137657</v>
      </c>
      <c r="D26" s="3">
        <v>64876.135958464321</v>
      </c>
      <c r="E26" s="3">
        <v>48282.389832022774</v>
      </c>
      <c r="F26" s="3">
        <v>4751.1751892720968</v>
      </c>
      <c r="G26" s="3">
        <v>19048.998690385568</v>
      </c>
      <c r="H26" s="3">
        <v>10067.076212523527</v>
      </c>
      <c r="I26" s="3">
        <v>5444.4908663912738</v>
      </c>
      <c r="J26" s="3">
        <v>4622.5853461322531</v>
      </c>
      <c r="K26" s="3">
        <v>712.17103867961123</v>
      </c>
      <c r="L26" s="3">
        <v>6769.9106729730011</v>
      </c>
      <c r="M26" s="3">
        <v>29694.131034019127</v>
      </c>
      <c r="N26">
        <v>74327.237296538937</v>
      </c>
      <c r="O26">
        <v>18389.213761137657</v>
      </c>
      <c r="P26">
        <v>64876.135958464321</v>
      </c>
      <c r="Q26">
        <v>48282.389832022774</v>
      </c>
      <c r="R26">
        <v>4751.1751892720968</v>
      </c>
      <c r="S26">
        <v>19048.998690385568</v>
      </c>
      <c r="T26">
        <v>10067.076212523527</v>
      </c>
      <c r="U26">
        <v>5444.4908663912738</v>
      </c>
      <c r="V26">
        <v>4622.5853461322531</v>
      </c>
      <c r="W26">
        <v>712.17103867961123</v>
      </c>
      <c r="X26">
        <v>6769.9106729730011</v>
      </c>
      <c r="Y26">
        <v>29694.131034019127</v>
      </c>
      <c r="Z26" s="5">
        <f t="shared" si="2"/>
        <v>-8938.1124230630376</v>
      </c>
      <c r="AA26" s="5">
        <f t="shared" si="3"/>
        <v>11842.57093716945</v>
      </c>
      <c r="AB26" s="5">
        <f t="shared" si="4"/>
        <v>5329.231320382125</v>
      </c>
      <c r="AC26" s="5">
        <f t="shared" si="5"/>
        <v>0</v>
      </c>
      <c r="AD26" s="5">
        <f t="shared" si="6"/>
        <v>-2859.4963655203592</v>
      </c>
      <c r="AE26" s="7">
        <f>((N26-B26)^2)/(Error!B26^2)</f>
        <v>0</v>
      </c>
      <c r="AF26" s="7">
        <f>((O26-C26)^2)/(Error!C26^2)</f>
        <v>0</v>
      </c>
      <c r="AG26" s="7">
        <f>((P26-D26)^2)/(Error!D26^2)</f>
        <v>0</v>
      </c>
      <c r="AH26" s="7">
        <f>((Q26-E26)^2)/(Error!E26^2)</f>
        <v>0</v>
      </c>
      <c r="AI26" s="7">
        <f>((R26-F26)^2)/(Error!F26^2)</f>
        <v>0</v>
      </c>
      <c r="AJ26" s="7">
        <f>((S26-G26)^2)/(Error!G26^2)</f>
        <v>0</v>
      </c>
      <c r="AK26" s="7">
        <f>((T26-H26)^2)/(Error!H26^2)</f>
        <v>0</v>
      </c>
      <c r="AL26" s="7">
        <f>((U26-I26)^2)/(Error!I26^2)</f>
        <v>0</v>
      </c>
      <c r="AM26" s="7">
        <f>((V26-J26)^2)/(Error!J26^2)</f>
        <v>0</v>
      </c>
      <c r="AN26" s="7">
        <f>((W26-K26)^2)/(Error!K26^2)</f>
        <v>0</v>
      </c>
      <c r="AO26" s="7">
        <f>((X26-L26)^2)/(Error!L26^2)</f>
        <v>0</v>
      </c>
      <c r="AP26" s="7">
        <f>((Y26-M26)^2)/(Error!M26^2)</f>
        <v>0</v>
      </c>
      <c r="AQ26" s="8">
        <f t="shared" si="8"/>
        <v>0</v>
      </c>
      <c r="AR26" s="7">
        <f t="shared" si="9"/>
        <v>0</v>
      </c>
      <c r="AS26" s="7">
        <f t="shared" si="10"/>
        <v>0</v>
      </c>
      <c r="AT26" s="7">
        <f t="shared" si="11"/>
        <v>0</v>
      </c>
      <c r="AU26" s="7">
        <f t="shared" si="12"/>
        <v>0</v>
      </c>
      <c r="AV26" s="7">
        <f t="shared" si="13"/>
        <v>0</v>
      </c>
      <c r="AW26" s="7">
        <f t="shared" si="14"/>
        <v>0</v>
      </c>
      <c r="AX26" s="7">
        <f t="shared" si="15"/>
        <v>0</v>
      </c>
      <c r="AY26" s="7">
        <f t="shared" si="16"/>
        <v>0</v>
      </c>
      <c r="AZ26" s="7">
        <f t="shared" si="17"/>
        <v>0</v>
      </c>
      <c r="BA26" s="7">
        <f t="shared" si="18"/>
        <v>0</v>
      </c>
      <c r="BB26" s="7">
        <f t="shared" si="19"/>
        <v>0</v>
      </c>
      <c r="BC26" s="7">
        <f t="shared" si="20"/>
        <v>0</v>
      </c>
    </row>
    <row r="27" spans="1:55" x14ac:dyDescent="0.25">
      <c r="A27">
        <v>24</v>
      </c>
      <c r="B27" s="3">
        <v>70804.642344189677</v>
      </c>
      <c r="C27" s="3">
        <v>18608.041767579321</v>
      </c>
      <c r="D27" s="3">
        <v>60694.653856344717</v>
      </c>
      <c r="E27" s="3">
        <v>44805.384102203439</v>
      </c>
      <c r="F27" s="3">
        <v>4802.8023867231705</v>
      </c>
      <c r="G27" s="3">
        <v>18037.543006789707</v>
      </c>
      <c r="H27" s="3">
        <v>12771.310167338173</v>
      </c>
      <c r="I27" s="3">
        <v>6236.4553049218694</v>
      </c>
      <c r="J27" s="3">
        <v>6534.8548624163041</v>
      </c>
      <c r="K27" s="3">
        <v>1012.7726165469981</v>
      </c>
      <c r="L27" s="3">
        <v>8290.0745120097417</v>
      </c>
      <c r="M27" s="3">
        <v>33916.653863760424</v>
      </c>
      <c r="N27">
        <v>70804.642344189677</v>
      </c>
      <c r="O27">
        <v>18608.041767579321</v>
      </c>
      <c r="P27">
        <v>60694.653856344717</v>
      </c>
      <c r="Q27">
        <v>44805.384102203439</v>
      </c>
      <c r="R27">
        <v>4802.8023867231705</v>
      </c>
      <c r="S27">
        <v>18037.543006789707</v>
      </c>
      <c r="T27">
        <v>12771.310167338173</v>
      </c>
      <c r="U27">
        <v>6236.4553049218694</v>
      </c>
      <c r="V27">
        <v>6534.8548624163041</v>
      </c>
      <c r="W27">
        <v>1012.7726165469981</v>
      </c>
      <c r="X27">
        <v>8290.0745120097417</v>
      </c>
      <c r="Y27">
        <v>33916.653863760424</v>
      </c>
      <c r="Z27" s="5">
        <f t="shared" si="2"/>
        <v>-8498.0532797343621</v>
      </c>
      <c r="AA27" s="5">
        <f t="shared" si="3"/>
        <v>11086.467367418107</v>
      </c>
      <c r="AB27" s="5">
        <f t="shared" si="4"/>
        <v>7910.6030763557119</v>
      </c>
      <c r="AC27" s="5">
        <f t="shared" si="5"/>
        <v>0</v>
      </c>
      <c r="AD27" s="5">
        <f t="shared" si="6"/>
        <v>-2767.9922661404357</v>
      </c>
      <c r="AE27" s="7">
        <f>((N27-B27)^2)/(Error!B27^2)</f>
        <v>0</v>
      </c>
      <c r="AF27" s="7">
        <f>((O27-C27)^2)/(Error!C27^2)</f>
        <v>0</v>
      </c>
      <c r="AG27" s="7">
        <f>((P27-D27)^2)/(Error!D27^2)</f>
        <v>0</v>
      </c>
      <c r="AH27" s="7">
        <f>((Q27-E27)^2)/(Error!E27^2)</f>
        <v>0</v>
      </c>
      <c r="AI27" s="7">
        <f>((R27-F27)^2)/(Error!F27^2)</f>
        <v>0</v>
      </c>
      <c r="AJ27" s="7">
        <f>((S27-G27)^2)/(Error!G27^2)</f>
        <v>0</v>
      </c>
      <c r="AK27" s="7">
        <f>((T27-H27)^2)/(Error!H27^2)</f>
        <v>0</v>
      </c>
      <c r="AL27" s="7">
        <f>((U27-I27)^2)/(Error!I27^2)</f>
        <v>0</v>
      </c>
      <c r="AM27" s="7">
        <f>((V27-J27)^2)/(Error!J27^2)</f>
        <v>0</v>
      </c>
      <c r="AN27" s="7">
        <f>((W27-K27)^2)/(Error!K27^2)</f>
        <v>0</v>
      </c>
      <c r="AO27" s="7">
        <f>((X27-L27)^2)/(Error!L27^2)</f>
        <v>0</v>
      </c>
      <c r="AP27" s="7">
        <f>((Y27-M27)^2)/(Error!M27^2)</f>
        <v>0</v>
      </c>
      <c r="AQ27" s="8">
        <f t="shared" si="8"/>
        <v>0</v>
      </c>
      <c r="AR27" s="7">
        <f t="shared" si="9"/>
        <v>0</v>
      </c>
      <c r="AS27" s="7">
        <f t="shared" si="10"/>
        <v>0</v>
      </c>
      <c r="AT27" s="7">
        <f t="shared" si="11"/>
        <v>0</v>
      </c>
      <c r="AU27" s="7">
        <f t="shared" si="12"/>
        <v>0</v>
      </c>
      <c r="AV27" s="7">
        <f t="shared" si="13"/>
        <v>0</v>
      </c>
      <c r="AW27" s="7">
        <f t="shared" si="14"/>
        <v>0</v>
      </c>
      <c r="AX27" s="7">
        <f t="shared" si="15"/>
        <v>0</v>
      </c>
      <c r="AY27" s="7">
        <f t="shared" si="16"/>
        <v>0</v>
      </c>
      <c r="AZ27" s="7">
        <f t="shared" si="17"/>
        <v>0</v>
      </c>
      <c r="BA27" s="7">
        <f t="shared" si="18"/>
        <v>0</v>
      </c>
      <c r="BB27" s="7">
        <f t="shared" si="19"/>
        <v>0</v>
      </c>
      <c r="BC27" s="7">
        <f t="shared" si="20"/>
        <v>0</v>
      </c>
    </row>
    <row r="28" spans="1:55" x14ac:dyDescent="0.25">
      <c r="A28">
        <v>25</v>
      </c>
      <c r="B28" s="3">
        <v>69772.522082339565</v>
      </c>
      <c r="C28" s="3">
        <v>18160.123566179231</v>
      </c>
      <c r="D28" s="3">
        <v>59910.3753641777</v>
      </c>
      <c r="E28" s="3">
        <v>44373.096320962701</v>
      </c>
      <c r="F28" s="3">
        <v>4570.0003239486659</v>
      </c>
      <c r="G28" s="3">
        <v>24454.716582511679</v>
      </c>
      <c r="H28" s="3">
        <v>11711.246152507936</v>
      </c>
      <c r="I28" s="3">
        <v>5141.0287926920646</v>
      </c>
      <c r="J28" s="3">
        <v>6570.2173598158724</v>
      </c>
      <c r="K28" s="3">
        <v>1332.7651092543724</v>
      </c>
      <c r="L28" s="3">
        <v>8087.9999736946966</v>
      </c>
      <c r="M28" s="3">
        <v>34101.308799880637</v>
      </c>
      <c r="N28">
        <v>69772.522082339565</v>
      </c>
      <c r="O28">
        <v>18160.123566179231</v>
      </c>
      <c r="P28">
        <v>59910.3753641777</v>
      </c>
      <c r="Q28">
        <v>44373.096320962701</v>
      </c>
      <c r="R28">
        <v>4570.0003239486659</v>
      </c>
      <c r="S28">
        <v>24454.716582511679</v>
      </c>
      <c r="T28">
        <v>11711.246152507936</v>
      </c>
      <c r="U28">
        <v>5141.0287926920646</v>
      </c>
      <c r="V28">
        <v>6570.2173598158724</v>
      </c>
      <c r="W28">
        <v>1332.7651092543724</v>
      </c>
      <c r="X28">
        <v>8087.9999736946966</v>
      </c>
      <c r="Y28">
        <v>34101.308799880637</v>
      </c>
      <c r="Z28" s="5">
        <f t="shared" si="2"/>
        <v>-8297.9768480173661</v>
      </c>
      <c r="AA28" s="5">
        <f t="shared" si="3"/>
        <v>10967.278719266335</v>
      </c>
      <c r="AB28" s="5">
        <f t="shared" si="4"/>
        <v>2505.3463888096903</v>
      </c>
      <c r="AC28" s="5">
        <f t="shared" si="5"/>
        <v>0</v>
      </c>
      <c r="AD28" s="5">
        <f t="shared" si="6"/>
        <v>-2850.5477231331965</v>
      </c>
      <c r="AE28" s="7">
        <f>((N28-B28)^2)/(Error!B28^2)</f>
        <v>0</v>
      </c>
      <c r="AF28" s="7">
        <f>((O28-C28)^2)/(Error!C28^2)</f>
        <v>0</v>
      </c>
      <c r="AG28" s="7">
        <f>((P28-D28)^2)/(Error!D28^2)</f>
        <v>0</v>
      </c>
      <c r="AH28" s="7">
        <f>((Q28-E28)^2)/(Error!E28^2)</f>
        <v>0</v>
      </c>
      <c r="AI28" s="7">
        <f>((R28-F28)^2)/(Error!F28^2)</f>
        <v>0</v>
      </c>
      <c r="AJ28" s="7">
        <f>((S28-G28)^2)/(Error!G28^2)</f>
        <v>0</v>
      </c>
      <c r="AK28" s="7">
        <f>((T28-H28)^2)/(Error!H28^2)</f>
        <v>0</v>
      </c>
      <c r="AL28" s="7">
        <f>((U28-I28)^2)/(Error!I28^2)</f>
        <v>0</v>
      </c>
      <c r="AM28" s="7">
        <f>((V28-J28)^2)/(Error!J28^2)</f>
        <v>0</v>
      </c>
      <c r="AN28" s="7">
        <f>((W28-K28)^2)/(Error!K28^2)</f>
        <v>0</v>
      </c>
      <c r="AO28" s="7">
        <f>((X28-L28)^2)/(Error!L28^2)</f>
        <v>0</v>
      </c>
      <c r="AP28" s="7">
        <f>((Y28-M28)^2)/(Error!M28^2)</f>
        <v>0</v>
      </c>
      <c r="AQ28" s="8">
        <f t="shared" si="8"/>
        <v>0</v>
      </c>
      <c r="AR28" s="7">
        <f t="shared" si="9"/>
        <v>0</v>
      </c>
      <c r="AS28" s="7">
        <f t="shared" si="10"/>
        <v>0</v>
      </c>
      <c r="AT28" s="7">
        <f t="shared" si="11"/>
        <v>0</v>
      </c>
      <c r="AU28" s="7">
        <f t="shared" si="12"/>
        <v>0</v>
      </c>
      <c r="AV28" s="7">
        <f t="shared" si="13"/>
        <v>0</v>
      </c>
      <c r="AW28" s="7">
        <f t="shared" si="14"/>
        <v>0</v>
      </c>
      <c r="AX28" s="7">
        <f t="shared" si="15"/>
        <v>0</v>
      </c>
      <c r="AY28" s="7">
        <f t="shared" si="16"/>
        <v>0</v>
      </c>
      <c r="AZ28" s="7">
        <f t="shared" si="17"/>
        <v>0</v>
      </c>
      <c r="BA28" s="7">
        <f t="shared" si="18"/>
        <v>0</v>
      </c>
      <c r="BB28" s="7">
        <f t="shared" si="19"/>
        <v>0</v>
      </c>
      <c r="BC28" s="7">
        <f t="shared" si="20"/>
        <v>0</v>
      </c>
    </row>
    <row r="29" spans="1:55" x14ac:dyDescent="0.25">
      <c r="A29">
        <v>26</v>
      </c>
      <c r="B29" s="3">
        <v>69978.126152692115</v>
      </c>
      <c r="C29" s="3">
        <v>19048.45297582167</v>
      </c>
      <c r="D29" s="3">
        <v>59245.95287511999</v>
      </c>
      <c r="E29" s="3">
        <v>43349.836913479587</v>
      </c>
      <c r="F29" s="3">
        <v>4997.6827256654469</v>
      </c>
      <c r="G29" s="3">
        <v>12263.261716339848</v>
      </c>
      <c r="H29" s="3">
        <v>9569.4300285051122</v>
      </c>
      <c r="I29" s="3">
        <v>5416.0100751753671</v>
      </c>
      <c r="J29" s="3">
        <v>4153.4199533297451</v>
      </c>
      <c r="K29" s="3">
        <v>742.60313227663335</v>
      </c>
      <c r="L29" s="3">
        <v>6441.182618943003</v>
      </c>
      <c r="M29" s="3">
        <v>28060.685865163028</v>
      </c>
      <c r="N29">
        <v>69978.126152692115</v>
      </c>
      <c r="O29">
        <v>19048.45297582167</v>
      </c>
      <c r="P29">
        <v>59245.95287511999</v>
      </c>
      <c r="Q29">
        <v>43349.836913479587</v>
      </c>
      <c r="R29">
        <v>4997.6827256654469</v>
      </c>
      <c r="S29">
        <v>12263.261716339848</v>
      </c>
      <c r="T29">
        <v>9569.4300285051122</v>
      </c>
      <c r="U29">
        <v>5416.0100751753671</v>
      </c>
      <c r="V29">
        <v>4153.4199533297451</v>
      </c>
      <c r="W29">
        <v>742.60313227663335</v>
      </c>
      <c r="X29">
        <v>6441.182618943003</v>
      </c>
      <c r="Y29">
        <v>28060.685865163028</v>
      </c>
      <c r="Z29" s="5">
        <f t="shared" si="2"/>
        <v>-8316.279698249542</v>
      </c>
      <c r="AA29" s="5">
        <f t="shared" si="3"/>
        <v>10898.433235974957</v>
      </c>
      <c r="AB29" s="5">
        <f t="shared" si="4"/>
        <v>11225.676845983517</v>
      </c>
      <c r="AC29" s="5">
        <f t="shared" si="5"/>
        <v>0</v>
      </c>
      <c r="AD29" s="5">
        <f t="shared" si="6"/>
        <v>-3030.3657978898914</v>
      </c>
      <c r="AE29" s="7">
        <f>((N29-B29)^2)/(Error!B29^2)</f>
        <v>0</v>
      </c>
      <c r="AF29" s="7">
        <f>((O29-C29)^2)/(Error!C29^2)</f>
        <v>0</v>
      </c>
      <c r="AG29" s="7">
        <f>((P29-D29)^2)/(Error!D29^2)</f>
        <v>0</v>
      </c>
      <c r="AH29" s="7">
        <f>((Q29-E29)^2)/(Error!E29^2)</f>
        <v>0</v>
      </c>
      <c r="AI29" s="7">
        <f>((R29-F29)^2)/(Error!F29^2)</f>
        <v>0</v>
      </c>
      <c r="AJ29" s="7">
        <f>((S29-G29)^2)/(Error!G29^2)</f>
        <v>0</v>
      </c>
      <c r="AK29" s="7">
        <f>((T29-H29)^2)/(Error!H29^2)</f>
        <v>0</v>
      </c>
      <c r="AL29" s="7">
        <f>((U29-I29)^2)/(Error!I29^2)</f>
        <v>0</v>
      </c>
      <c r="AM29" s="7">
        <f>((V29-J29)^2)/(Error!J29^2)</f>
        <v>0</v>
      </c>
      <c r="AN29" s="7">
        <f>((W29-K29)^2)/(Error!K29^2)</f>
        <v>0</v>
      </c>
      <c r="AO29" s="7">
        <f>((X29-L29)^2)/(Error!L29^2)</f>
        <v>0</v>
      </c>
      <c r="AP29" s="7">
        <f>((Y29-M29)^2)/(Error!M29^2)</f>
        <v>0</v>
      </c>
      <c r="AQ29" s="8">
        <f t="shared" si="8"/>
        <v>0</v>
      </c>
      <c r="AR29" s="7">
        <f t="shared" si="9"/>
        <v>0</v>
      </c>
      <c r="AS29" s="7">
        <f t="shared" si="10"/>
        <v>0</v>
      </c>
      <c r="AT29" s="7">
        <f t="shared" si="11"/>
        <v>0</v>
      </c>
      <c r="AU29" s="7">
        <f t="shared" si="12"/>
        <v>0</v>
      </c>
      <c r="AV29" s="7">
        <f t="shared" si="13"/>
        <v>0</v>
      </c>
      <c r="AW29" s="7">
        <f t="shared" si="14"/>
        <v>0</v>
      </c>
      <c r="AX29" s="7">
        <f t="shared" si="15"/>
        <v>0</v>
      </c>
      <c r="AY29" s="7">
        <f t="shared" si="16"/>
        <v>0</v>
      </c>
      <c r="AZ29" s="7">
        <f t="shared" si="17"/>
        <v>0</v>
      </c>
      <c r="BA29" s="7">
        <f t="shared" si="18"/>
        <v>0</v>
      </c>
      <c r="BB29" s="7">
        <f t="shared" si="19"/>
        <v>0</v>
      </c>
      <c r="BC29" s="7">
        <f t="shared" si="20"/>
        <v>0</v>
      </c>
    </row>
    <row r="30" spans="1:55" x14ac:dyDescent="0.25">
      <c r="A30">
        <v>27</v>
      </c>
      <c r="B30" s="3">
        <v>53319.148903141824</v>
      </c>
      <c r="C30" s="3">
        <v>20838.515920934442</v>
      </c>
      <c r="D30" s="3">
        <v>38147.107129064025</v>
      </c>
      <c r="E30" s="3">
        <v>33626.116251047861</v>
      </c>
      <c r="F30" s="3">
        <v>394.7167690648958</v>
      </c>
      <c r="G30" s="3">
        <v>30941.440943409296</v>
      </c>
      <c r="H30" s="3">
        <v>8828.4744183575058</v>
      </c>
      <c r="I30" s="3">
        <v>5205.0220892087655</v>
      </c>
      <c r="J30" s="3">
        <v>3623.4523291487403</v>
      </c>
      <c r="K30" s="3">
        <v>990.075746268682</v>
      </c>
      <c r="L30" s="3">
        <v>4746.7573072697724</v>
      </c>
      <c r="M30" s="3">
        <v>45533.540974872572</v>
      </c>
      <c r="N30">
        <v>53319.148903141824</v>
      </c>
      <c r="O30">
        <v>20838.515920934442</v>
      </c>
      <c r="P30">
        <v>38147.107129064025</v>
      </c>
      <c r="Q30">
        <v>33626.116251047861</v>
      </c>
      <c r="R30">
        <v>394.7167690648958</v>
      </c>
      <c r="S30">
        <v>30941.440943409296</v>
      </c>
      <c r="T30">
        <v>8828.4744183575058</v>
      </c>
      <c r="U30">
        <v>5205.0220892087655</v>
      </c>
      <c r="V30">
        <v>3623.4523291487403</v>
      </c>
      <c r="W30">
        <v>990.075746268682</v>
      </c>
      <c r="X30">
        <v>4746.7573072697724</v>
      </c>
      <c r="Y30">
        <v>45533.540974872572</v>
      </c>
      <c r="Z30" s="5">
        <f t="shared" si="2"/>
        <v>-5666.4741468566426</v>
      </c>
      <c r="AA30" s="5">
        <f t="shared" si="3"/>
        <v>4126.2741089512683</v>
      </c>
      <c r="AB30" s="5">
        <f t="shared" si="4"/>
        <v>6158.3423821706638</v>
      </c>
      <c r="AC30" s="5">
        <f t="shared" si="5"/>
        <v>0</v>
      </c>
      <c r="AD30" s="5">
        <f t="shared" si="6"/>
        <v>-2113.380724389714</v>
      </c>
      <c r="AE30" s="7">
        <f>((N30-B30)^2)/(Error!B30^2)</f>
        <v>0</v>
      </c>
      <c r="AF30" s="7">
        <f>((O30-C30)^2)/(Error!C30^2)</f>
        <v>0</v>
      </c>
      <c r="AG30" s="7">
        <f>((P30-D30)^2)/(Error!D30^2)</f>
        <v>0</v>
      </c>
      <c r="AH30" s="7">
        <f>((Q30-E30)^2)/(Error!E30^2)</f>
        <v>0</v>
      </c>
      <c r="AI30" s="7">
        <f>((R30-F30)^2)/(Error!F30^2)</f>
        <v>0</v>
      </c>
      <c r="AJ30" s="7">
        <f>((S30-G30)^2)/(Error!G30^2)</f>
        <v>0</v>
      </c>
      <c r="AK30" s="7">
        <f>((T30-H30)^2)/(Error!H30^2)</f>
        <v>0</v>
      </c>
      <c r="AL30" s="7">
        <f>((U30-I30)^2)/(Error!I30^2)</f>
        <v>0</v>
      </c>
      <c r="AM30" s="7">
        <f>((V30-J30)^2)/(Error!J30^2)</f>
        <v>0</v>
      </c>
      <c r="AN30" s="7">
        <f>((W30-K30)^2)/(Error!K30^2)</f>
        <v>0</v>
      </c>
      <c r="AO30" s="7">
        <f>((X30-L30)^2)/(Error!L30^2)</f>
        <v>0</v>
      </c>
      <c r="AP30" s="7">
        <f>((Y30-M30)^2)/(Error!M30^2)</f>
        <v>0</v>
      </c>
      <c r="AQ30" s="8">
        <f t="shared" si="8"/>
        <v>0</v>
      </c>
      <c r="AR30" s="7">
        <f t="shared" si="9"/>
        <v>0</v>
      </c>
      <c r="AS30" s="7">
        <f t="shared" si="10"/>
        <v>0</v>
      </c>
      <c r="AT30" s="7">
        <f t="shared" si="11"/>
        <v>0</v>
      </c>
      <c r="AU30" s="7">
        <f t="shared" si="12"/>
        <v>0</v>
      </c>
      <c r="AV30" s="7">
        <f t="shared" si="13"/>
        <v>0</v>
      </c>
      <c r="AW30" s="7">
        <f t="shared" si="14"/>
        <v>0</v>
      </c>
      <c r="AX30" s="7">
        <f t="shared" si="15"/>
        <v>0</v>
      </c>
      <c r="AY30" s="7">
        <f t="shared" si="16"/>
        <v>0</v>
      </c>
      <c r="AZ30" s="7">
        <f t="shared" si="17"/>
        <v>0</v>
      </c>
      <c r="BA30" s="7">
        <f t="shared" si="18"/>
        <v>0</v>
      </c>
      <c r="BB30" s="7">
        <f t="shared" si="19"/>
        <v>0</v>
      </c>
      <c r="BC30" s="7">
        <f t="shared" si="20"/>
        <v>0</v>
      </c>
    </row>
    <row r="32" spans="1:55" x14ac:dyDescent="0.25">
      <c r="A32">
        <v>1</v>
      </c>
      <c r="B32" s="3">
        <v>2</v>
      </c>
      <c r="C32">
        <v>3</v>
      </c>
      <c r="D32" s="3">
        <v>4</v>
      </c>
      <c r="E32">
        <v>5</v>
      </c>
      <c r="F32" s="3">
        <v>6</v>
      </c>
      <c r="G32">
        <v>7</v>
      </c>
      <c r="H32" s="3">
        <v>8</v>
      </c>
      <c r="I32">
        <v>9</v>
      </c>
      <c r="J32" s="3">
        <v>10</v>
      </c>
      <c r="K32">
        <v>11</v>
      </c>
      <c r="L32" s="3">
        <v>12</v>
      </c>
      <c r="M32">
        <v>13</v>
      </c>
      <c r="N32" s="3">
        <v>14</v>
      </c>
      <c r="O32">
        <v>15</v>
      </c>
      <c r="P32" s="3">
        <v>16</v>
      </c>
      <c r="Q32">
        <v>17</v>
      </c>
      <c r="R32" s="3">
        <v>18</v>
      </c>
      <c r="S32">
        <v>19</v>
      </c>
      <c r="T32" s="3">
        <v>20</v>
      </c>
      <c r="U32">
        <v>21</v>
      </c>
      <c r="V32" s="3">
        <v>22</v>
      </c>
      <c r="W32">
        <v>23</v>
      </c>
      <c r="X32" s="3">
        <v>24</v>
      </c>
      <c r="Y32">
        <v>25</v>
      </c>
      <c r="Z32" s="3">
        <v>26</v>
      </c>
      <c r="AA32">
        <v>27</v>
      </c>
      <c r="AB32" s="3">
        <v>28</v>
      </c>
      <c r="AC32">
        <v>29</v>
      </c>
      <c r="AD32" s="3">
        <v>30</v>
      </c>
      <c r="AE32">
        <v>31</v>
      </c>
      <c r="AF32" s="3">
        <v>32</v>
      </c>
      <c r="AG32">
        <v>33</v>
      </c>
      <c r="AH32" s="3">
        <v>34</v>
      </c>
      <c r="AI32">
        <v>35</v>
      </c>
      <c r="AJ32" s="3">
        <v>36</v>
      </c>
      <c r="AK32">
        <v>37</v>
      </c>
      <c r="AL32" s="3">
        <v>38</v>
      </c>
      <c r="AM32">
        <v>39</v>
      </c>
      <c r="AN32" s="3">
        <v>40</v>
      </c>
      <c r="AO32">
        <v>41</v>
      </c>
      <c r="AP32" s="3">
        <v>42</v>
      </c>
      <c r="AQ32">
        <v>43</v>
      </c>
      <c r="AR32" s="3">
        <v>44</v>
      </c>
      <c r="AS32">
        <v>45</v>
      </c>
      <c r="AT32" s="3">
        <v>46</v>
      </c>
      <c r="AU32">
        <v>47</v>
      </c>
      <c r="AV32" s="3">
        <v>48</v>
      </c>
      <c r="AW32">
        <v>49</v>
      </c>
      <c r="AX32" s="3">
        <v>50</v>
      </c>
      <c r="AY32">
        <v>51</v>
      </c>
      <c r="AZ32" s="3">
        <v>52</v>
      </c>
      <c r="BA32">
        <v>53</v>
      </c>
      <c r="BB32" s="3">
        <v>54</v>
      </c>
      <c r="BC32">
        <v>55</v>
      </c>
    </row>
    <row r="34" spans="1:55" x14ac:dyDescent="0.25">
      <c r="B34" s="3">
        <v>53319.148903141824</v>
      </c>
      <c r="C34" s="3">
        <v>20838.515920934442</v>
      </c>
      <c r="D34" s="3">
        <v>38147.107129064025</v>
      </c>
      <c r="E34" s="3">
        <v>33626.116251047861</v>
      </c>
      <c r="F34" s="3">
        <v>394.7167690648958</v>
      </c>
      <c r="G34" s="3">
        <v>30941.440943409296</v>
      </c>
      <c r="H34" s="3">
        <v>8828.4744183575058</v>
      </c>
      <c r="I34" s="3">
        <v>5205.0220892087655</v>
      </c>
      <c r="J34" s="3">
        <v>3623.4523291487403</v>
      </c>
      <c r="K34" s="3">
        <v>990.075746268682</v>
      </c>
      <c r="L34" s="3">
        <v>4746.7573072697724</v>
      </c>
      <c r="M34" s="3">
        <v>45533.540974872572</v>
      </c>
      <c r="N34">
        <v>54401.077462188623</v>
      </c>
      <c r="O34">
        <v>20673.260776733536</v>
      </c>
      <c r="P34">
        <v>33727.816669754357</v>
      </c>
      <c r="Q34">
        <v>33333.153143304262</v>
      </c>
      <c r="R34">
        <v>394.66353517153783</v>
      </c>
      <c r="S34">
        <v>31018.075302108311</v>
      </c>
      <c r="T34">
        <v>10761.391702363166</v>
      </c>
      <c r="U34">
        <v>5180.3131160396088</v>
      </c>
      <c r="V34">
        <v>5581.0785863407891</v>
      </c>
      <c r="W34">
        <v>989.25007534969768</v>
      </c>
      <c r="X34">
        <v>4591.8285119505517</v>
      </c>
      <c r="Y34">
        <v>41384.803461790136</v>
      </c>
      <c r="Z34" s="5">
        <f>+N34-O34-P34</f>
        <v>1.5700730727985501E-5</v>
      </c>
      <c r="AA34" s="5">
        <f>+P34-R34-Q34</f>
        <v>-8.7214430095627904E-6</v>
      </c>
      <c r="AB34" s="5">
        <f>+R34+Y34-S34-T34</f>
        <v>-7.5098032539244741E-6</v>
      </c>
      <c r="AC34" s="5">
        <f>+T34-U34-V34</f>
        <v>-1.7232196114491671E-8</v>
      </c>
      <c r="AD34" s="5">
        <f>+V34-X34-W34</f>
        <v>-9.5946029432525393E-7</v>
      </c>
      <c r="AE34" s="7" t="e">
        <f>+((N34-B34)/Error!B34)^2</f>
        <v>#DIV/0!</v>
      </c>
      <c r="AF34" s="7" t="e">
        <f>+((O34-C34)/Error!C34)^2</f>
        <v>#DIV/0!</v>
      </c>
      <c r="AG34" s="7" t="e">
        <f>+((P34-D34)/Error!D34)^2</f>
        <v>#DIV/0!</v>
      </c>
      <c r="AH34" s="7" t="e">
        <f>+((Q34-E34)/Error!E34)^2</f>
        <v>#DIV/0!</v>
      </c>
      <c r="AI34" s="7" t="e">
        <f>+((R34-F34)/Error!F34)^2</f>
        <v>#DIV/0!</v>
      </c>
      <c r="AJ34" s="7" t="e">
        <f>+((S34-G34)/Error!G34)^2</f>
        <v>#DIV/0!</v>
      </c>
      <c r="AK34" s="7" t="e">
        <f>+((T34-H34)/Error!H34)^2</f>
        <v>#DIV/0!</v>
      </c>
      <c r="AL34" s="7" t="e">
        <f>+((U34-I34)/Error!I34)^2</f>
        <v>#DIV/0!</v>
      </c>
      <c r="AM34" s="7" t="e">
        <f>+((V34-J34)/Error!J34)^2</f>
        <v>#DIV/0!</v>
      </c>
      <c r="AN34" s="7" t="e">
        <f>+((W34-K34)/Error!K34)^2</f>
        <v>#DIV/0!</v>
      </c>
      <c r="AO34" s="7" t="e">
        <f>+((X34-L34)/Error!L34)^2</f>
        <v>#DIV/0!</v>
      </c>
      <c r="AP34" s="7" t="e">
        <f>+((Y34-M34)/Error!M34)^2</f>
        <v>#DIV/0!</v>
      </c>
      <c r="AQ34" s="8" t="e">
        <f>+SUM(AE34:AP34)</f>
        <v>#DIV/0!</v>
      </c>
      <c r="AR34" s="7" t="e">
        <f>+SQRT(AE34)</f>
        <v>#DIV/0!</v>
      </c>
      <c r="AS34" s="7" t="e">
        <f t="shared" ref="AS34:AS35" si="21">+SQRT(AF34)</f>
        <v>#DIV/0!</v>
      </c>
      <c r="AT34" s="7" t="e">
        <f t="shared" ref="AT34:AT35" si="22">+SQRT(AG34)</f>
        <v>#DIV/0!</v>
      </c>
      <c r="AU34" s="7" t="e">
        <f t="shared" ref="AU34:AU35" si="23">+SQRT(AH34)</f>
        <v>#DIV/0!</v>
      </c>
      <c r="AV34" s="7" t="e">
        <f t="shared" ref="AV34:AV35" si="24">+SQRT(AI34)</f>
        <v>#DIV/0!</v>
      </c>
      <c r="AW34" s="7" t="e">
        <f t="shared" ref="AW34:AW35" si="25">+SQRT(AJ34)</f>
        <v>#DIV/0!</v>
      </c>
      <c r="AX34" s="7" t="e">
        <f t="shared" ref="AX34:AX35" si="26">+SQRT(AK34)</f>
        <v>#DIV/0!</v>
      </c>
      <c r="AY34" s="7" t="e">
        <f t="shared" ref="AY34:AY35" si="27">+SQRT(AL34)</f>
        <v>#DIV/0!</v>
      </c>
      <c r="AZ34" s="7" t="e">
        <f t="shared" ref="AZ34:AZ35" si="28">+SQRT(AM34)</f>
        <v>#DIV/0!</v>
      </c>
      <c r="BA34" s="7" t="e">
        <f t="shared" ref="BA34:BA35" si="29">+SQRT(AN34)</f>
        <v>#DIV/0!</v>
      </c>
      <c r="BB34" s="7" t="e">
        <f t="shared" ref="BB34:BB35" si="30">+SQRT(AO34)</f>
        <v>#DIV/0!</v>
      </c>
      <c r="BC34" s="7" t="e">
        <f t="shared" ref="BC34:BC35" si="31">+SQRT(AP34)</f>
        <v>#DIV/0!</v>
      </c>
    </row>
    <row r="35" spans="1:55" x14ac:dyDescent="0.25">
      <c r="B35" s="3">
        <v>53319.148903141824</v>
      </c>
      <c r="C35" s="3">
        <v>20838.515920934442</v>
      </c>
      <c r="D35" s="3">
        <v>38147.107129064025</v>
      </c>
      <c r="E35" s="3">
        <v>33626.116251047861</v>
      </c>
      <c r="F35" s="3">
        <v>394.7167690648958</v>
      </c>
      <c r="G35" s="3">
        <v>30941.440943409296</v>
      </c>
      <c r="H35" s="3">
        <v>8828.4744183575058</v>
      </c>
      <c r="I35" s="3">
        <v>5205.0220892087655</v>
      </c>
      <c r="J35" s="3">
        <v>3623.4523291487403</v>
      </c>
      <c r="K35" s="3">
        <v>990.075746268682</v>
      </c>
      <c r="L35" s="3">
        <v>4746.7573072697724</v>
      </c>
      <c r="M35" s="3">
        <v>45533.540974872572</v>
      </c>
      <c r="N35">
        <v>54401.077462188623</v>
      </c>
      <c r="O35">
        <v>20673.260776733536</v>
      </c>
      <c r="P35">
        <v>33727.816669754357</v>
      </c>
      <c r="Q35">
        <v>33333.153143304262</v>
      </c>
      <c r="R35">
        <v>394.66353517153783</v>
      </c>
      <c r="S35">
        <v>31018.075302108311</v>
      </c>
      <c r="T35">
        <v>10761.391702363166</v>
      </c>
      <c r="U35">
        <v>5180.3131160396088</v>
      </c>
      <c r="V35">
        <v>5581.0785863407891</v>
      </c>
      <c r="W35">
        <v>989.25007534969768</v>
      </c>
      <c r="X35">
        <v>4591.8285119505517</v>
      </c>
      <c r="Y35">
        <v>41384.803461790136</v>
      </c>
      <c r="Z35" s="5">
        <f>+N35-O35-P35</f>
        <v>1.5700730727985501E-5</v>
      </c>
      <c r="AA35" s="5">
        <f>+P35-R35-Q35</f>
        <v>-8.7214430095627904E-6</v>
      </c>
      <c r="AB35" s="5">
        <f>+R35+Y35-S35-T35</f>
        <v>-7.5098032539244741E-6</v>
      </c>
      <c r="AC35" s="5">
        <f>+T35-U35-V35</f>
        <v>-1.7232196114491671E-8</v>
      </c>
      <c r="AD35" s="5">
        <f>+V35-X35-W35</f>
        <v>-9.5946029432525393E-7</v>
      </c>
      <c r="AE35" s="7" t="e">
        <f>+((N35-B35)/Error!B35)^2</f>
        <v>#DIV/0!</v>
      </c>
      <c r="AF35" s="7" t="e">
        <f>+((O35-C35)/Error!C35)^2</f>
        <v>#DIV/0!</v>
      </c>
      <c r="AG35" s="7" t="e">
        <f>+((P35-D35)/Error!D35)^2</f>
        <v>#DIV/0!</v>
      </c>
      <c r="AH35" s="7" t="e">
        <f>+((Q35-E35)/Error!E35)^2</f>
        <v>#DIV/0!</v>
      </c>
      <c r="AI35" s="7" t="e">
        <f>+((R35-F35)/Error!F35)^2</f>
        <v>#DIV/0!</v>
      </c>
      <c r="AJ35" s="7" t="e">
        <f>+((S35-G35)/Error!G35)^2</f>
        <v>#DIV/0!</v>
      </c>
      <c r="AK35" s="7" t="e">
        <f>+((T35-H35)/Error!H35)^2</f>
        <v>#DIV/0!</v>
      </c>
      <c r="AL35" s="7" t="e">
        <f>+((U35-I35)/Error!I35)^2</f>
        <v>#DIV/0!</v>
      </c>
      <c r="AM35" s="7" t="e">
        <f>+((V35-J35)/Error!J35)^2</f>
        <v>#DIV/0!</v>
      </c>
      <c r="AN35" s="7" t="e">
        <f>+((W35-K35)/Error!K35)^2</f>
        <v>#DIV/0!</v>
      </c>
      <c r="AO35" s="7" t="e">
        <f>+((X35-L35)/Error!L35)^2</f>
        <v>#DIV/0!</v>
      </c>
      <c r="AP35" s="7" t="e">
        <f>+((Y35-M35)/Error!M35)^2</f>
        <v>#DIV/0!</v>
      </c>
      <c r="AQ35" s="8" t="e">
        <f>+SUM(AE35:AP35)</f>
        <v>#DIV/0!</v>
      </c>
      <c r="AR35" s="7" t="e">
        <f>+SQRT(AE35)</f>
        <v>#DIV/0!</v>
      </c>
      <c r="AS35" s="7" t="e">
        <f t="shared" si="21"/>
        <v>#DIV/0!</v>
      </c>
      <c r="AT35" s="7" t="e">
        <f t="shared" si="22"/>
        <v>#DIV/0!</v>
      </c>
      <c r="AU35" s="7" t="e">
        <f t="shared" si="23"/>
        <v>#DIV/0!</v>
      </c>
      <c r="AV35" s="7" t="e">
        <f t="shared" si="24"/>
        <v>#DIV/0!</v>
      </c>
      <c r="AW35" s="7" t="e">
        <f t="shared" si="25"/>
        <v>#DIV/0!</v>
      </c>
      <c r="AX35" s="7" t="e">
        <f t="shared" si="26"/>
        <v>#DIV/0!</v>
      </c>
      <c r="AY35" s="7" t="e">
        <f t="shared" si="27"/>
        <v>#DIV/0!</v>
      </c>
      <c r="AZ35" s="7" t="e">
        <f t="shared" si="28"/>
        <v>#DIV/0!</v>
      </c>
      <c r="BA35" s="7" t="e">
        <f t="shared" si="29"/>
        <v>#DIV/0!</v>
      </c>
      <c r="BB35" s="7" t="e">
        <f t="shared" si="30"/>
        <v>#DIV/0!</v>
      </c>
      <c r="BC35" s="7" t="e">
        <f t="shared" si="31"/>
        <v>#DIV/0!</v>
      </c>
    </row>
    <row r="36" spans="1:55" x14ac:dyDescent="0.25">
      <c r="A36">
        <v>1</v>
      </c>
      <c r="B36" s="3">
        <v>53319.148903141824</v>
      </c>
      <c r="C36" s="3">
        <v>20838.515920934442</v>
      </c>
      <c r="D36" s="3">
        <v>38147.107129064025</v>
      </c>
      <c r="E36" s="3">
        <v>33626.116251047861</v>
      </c>
      <c r="F36" s="3">
        <v>394.7167690648958</v>
      </c>
      <c r="G36" s="3">
        <v>30941.440943409296</v>
      </c>
      <c r="H36" s="3">
        <v>8828.4744183575058</v>
      </c>
      <c r="I36" s="3">
        <v>5205.0220892087655</v>
      </c>
      <c r="J36" s="3">
        <v>3623.4523291487403</v>
      </c>
      <c r="K36" s="3">
        <v>990.075746268682</v>
      </c>
      <c r="L36" s="3">
        <v>4746.7573072697724</v>
      </c>
      <c r="M36" s="3">
        <v>45533.540974872572</v>
      </c>
      <c r="N36">
        <v>54401.077462188623</v>
      </c>
      <c r="O36">
        <v>20673.260776733536</v>
      </c>
      <c r="P36">
        <v>33727.816669754357</v>
      </c>
      <c r="Q36">
        <v>33333.153143304262</v>
      </c>
      <c r="R36">
        <v>394.66353517153783</v>
      </c>
      <c r="S36">
        <v>31018.075302108311</v>
      </c>
      <c r="T36">
        <v>10761.391702363166</v>
      </c>
      <c r="U36">
        <v>5180.3131160396088</v>
      </c>
      <c r="V36">
        <v>5581.0785863407891</v>
      </c>
      <c r="W36">
        <v>989.25007534969768</v>
      </c>
      <c r="X36">
        <v>4591.8285119505517</v>
      </c>
      <c r="Y36">
        <v>41384.803461790136</v>
      </c>
      <c r="Z36" s="5">
        <v>1.1231362805119716E-5</v>
      </c>
      <c r="AA36" s="5">
        <v>-8.5117517301114276E-6</v>
      </c>
      <c r="AB36" s="5">
        <v>3.5107390431221575E-5</v>
      </c>
      <c r="AC36" s="5">
        <v>-1.2968432656634832E-5</v>
      </c>
      <c r="AD36" s="5">
        <v>2.2913562816029298E-6</v>
      </c>
      <c r="AE36" s="7">
        <v>1.0293568346868334</v>
      </c>
      <c r="AF36" s="7">
        <v>0.15720490479091548</v>
      </c>
      <c r="AG36" s="7">
        <v>1.3421001906206287</v>
      </c>
      <c r="AH36" s="7">
        <v>0.18976590784900788</v>
      </c>
      <c r="AI36" s="7">
        <v>7.1738817750071281E-5</v>
      </c>
      <c r="AJ36" s="7">
        <v>6.7173797499186921E-2</v>
      </c>
      <c r="AK36" s="7">
        <v>9.2553909482485324</v>
      </c>
      <c r="AL36" s="7">
        <v>0.1618835873593594</v>
      </c>
      <c r="AM36" s="7">
        <v>1390.3301873182807</v>
      </c>
      <c r="AN36" s="7">
        <v>185.39482781462544</v>
      </c>
      <c r="AO36" s="7">
        <v>2500</v>
      </c>
      <c r="AP36" s="7">
        <v>3.6370675320737247</v>
      </c>
      <c r="AQ36" s="8">
        <v>4091.5650305748518</v>
      </c>
      <c r="AR36" s="7">
        <v>-1.0145722422217323</v>
      </c>
      <c r="AS36" s="7">
        <v>0.39649073733306239</v>
      </c>
      <c r="AT36" s="7">
        <v>1.1584904792964976</v>
      </c>
      <c r="AU36" s="7">
        <v>0.43562128948090667</v>
      </c>
      <c r="AV36" s="7">
        <v>8.4698770799859473E-3</v>
      </c>
      <c r="AW36" s="7">
        <v>-0.25917908383815796</v>
      </c>
      <c r="AX36" s="7">
        <v>3.0422674024892244</v>
      </c>
      <c r="AY36" s="7">
        <v>-0.40234759519519858</v>
      </c>
      <c r="AZ36" s="7">
        <v>-37.287131658499568</v>
      </c>
      <c r="BA36" s="7">
        <v>13.615976932068644</v>
      </c>
      <c r="BB36" s="7">
        <v>50</v>
      </c>
      <c r="BC36" s="7">
        <v>1.9071097325727548</v>
      </c>
    </row>
  </sheetData>
  <mergeCells count="5">
    <mergeCell ref="B1:M1"/>
    <mergeCell ref="N1:Y1"/>
    <mergeCell ref="Z1:AD1"/>
    <mergeCell ref="AE1:AP1"/>
    <mergeCell ref="AR1:BC1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69175-6EE3-4E22-A9F7-3BF5912EFA31}">
  <sheetPr codeName="Hoja3"/>
  <dimension ref="B1:S37"/>
  <sheetViews>
    <sheetView zoomScale="70" zoomScaleNormal="70" workbookViewId="0">
      <selection activeCell="E36" sqref="E36"/>
    </sheetView>
  </sheetViews>
  <sheetFormatPr defaultColWidth="11.42578125" defaultRowHeight="15" x14ac:dyDescent="0.25"/>
  <sheetData>
    <row r="1" spans="2:19" x14ac:dyDescent="0.25">
      <c r="M1" s="31" t="s">
        <v>5</v>
      </c>
      <c r="N1" s="32"/>
    </row>
    <row r="2" spans="2:19" x14ac:dyDescent="0.25">
      <c r="M2" s="9" t="s">
        <v>25</v>
      </c>
      <c r="N2" s="10">
        <f>+reconciliación!G4</f>
        <v>30941.440943409296</v>
      </c>
    </row>
    <row r="3" spans="2:19" x14ac:dyDescent="0.25">
      <c r="M3" s="9" t="s">
        <v>26</v>
      </c>
      <c r="N3" s="10">
        <f>+reconciliación!S4</f>
        <v>31018.075298757132</v>
      </c>
    </row>
    <row r="4" spans="2:19" x14ac:dyDescent="0.25">
      <c r="E4" s="31" t="s">
        <v>1</v>
      </c>
      <c r="F4" s="32"/>
      <c r="M4" s="11" t="s">
        <v>27</v>
      </c>
      <c r="N4" s="12">
        <f>+reconciliación!AW4</f>
        <v>-0.12383772864359754</v>
      </c>
    </row>
    <row r="5" spans="2:19" x14ac:dyDescent="0.25">
      <c r="E5" s="9" t="s">
        <v>25</v>
      </c>
      <c r="F5" s="10">
        <f>+reconciliación!C4</f>
        <v>20838.515920934442</v>
      </c>
      <c r="R5" s="31" t="s">
        <v>10</v>
      </c>
      <c r="S5" s="32"/>
    </row>
    <row r="6" spans="2:19" x14ac:dyDescent="0.25">
      <c r="E6" s="9" t="s">
        <v>26</v>
      </c>
      <c r="F6" s="10">
        <f>+reconciliación!O4</f>
        <v>20673.260778216314</v>
      </c>
      <c r="H6" s="31" t="s">
        <v>3</v>
      </c>
      <c r="I6" s="32"/>
      <c r="K6" s="13" t="s">
        <v>28</v>
      </c>
      <c r="O6" s="31" t="s">
        <v>7</v>
      </c>
      <c r="P6" s="32"/>
      <c r="R6" s="9" t="s">
        <v>25</v>
      </c>
      <c r="S6" s="10">
        <f>+reconciliación!L4</f>
        <v>4746.7573072697724</v>
      </c>
    </row>
    <row r="7" spans="2:19" x14ac:dyDescent="0.25">
      <c r="E7" s="11" t="s">
        <v>27</v>
      </c>
      <c r="F7" s="12">
        <f>+reconciliación!AS4</f>
        <v>0.39651370410719128</v>
      </c>
      <c r="H7" s="9" t="s">
        <v>25</v>
      </c>
      <c r="I7" s="10">
        <f>+reconciliación!E4</f>
        <v>33626.116251047861</v>
      </c>
      <c r="K7" s="31" t="s">
        <v>11</v>
      </c>
      <c r="L7" s="32"/>
      <c r="O7" s="9" t="s">
        <v>25</v>
      </c>
      <c r="P7" s="10">
        <f>+reconciliación!I4</f>
        <v>5205.0220892087655</v>
      </c>
      <c r="R7" s="9" t="s">
        <v>26</v>
      </c>
      <c r="S7" s="10">
        <f>+reconciliación!X4</f>
        <v>4591.8285118771155</v>
      </c>
    </row>
    <row r="8" spans="2:19" x14ac:dyDescent="0.25">
      <c r="H8" s="9" t="s">
        <v>26</v>
      </c>
      <c r="I8" s="10">
        <f>+reconciliación!Q4</f>
        <v>33333.153140945746</v>
      </c>
      <c r="K8" s="9" t="s">
        <v>25</v>
      </c>
      <c r="L8" s="10">
        <f>+reconciliación!M4</f>
        <v>45533.540974872572</v>
      </c>
      <c r="O8" s="9" t="s">
        <v>26</v>
      </c>
      <c r="P8" s="10">
        <f>+reconciliación!U4</f>
        <v>5180.3131159460836</v>
      </c>
      <c r="R8" s="11" t="s">
        <v>27</v>
      </c>
      <c r="S8" s="12">
        <f>+reconciliación!BB4</f>
        <v>1.6319435075749471</v>
      </c>
    </row>
    <row r="9" spans="2:19" x14ac:dyDescent="0.25">
      <c r="H9" s="11" t="s">
        <v>27</v>
      </c>
      <c r="I9" s="12">
        <f>+reconciliación!AU4</f>
        <v>0.43561841622578945</v>
      </c>
      <c r="K9" s="9" t="s">
        <v>26</v>
      </c>
      <c r="L9" s="10">
        <f>+reconciliación!Y4</f>
        <v>41384.803467754871</v>
      </c>
      <c r="O9" s="11" t="s">
        <v>27</v>
      </c>
      <c r="P9" s="12">
        <f>+reconciliación!AY4</f>
        <v>0.23735704516902412</v>
      </c>
    </row>
    <row r="10" spans="2:19" x14ac:dyDescent="0.25">
      <c r="K10" s="11" t="s">
        <v>27</v>
      </c>
      <c r="L10" s="12">
        <f>+reconciliación!BC4</f>
        <v>0.91113878215778521</v>
      </c>
    </row>
    <row r="15" spans="2:19" x14ac:dyDescent="0.25">
      <c r="B15" s="31" t="s">
        <v>0</v>
      </c>
      <c r="C15" s="32"/>
    </row>
    <row r="16" spans="2:19" x14ac:dyDescent="0.25">
      <c r="B16" s="9" t="s">
        <v>25</v>
      </c>
      <c r="C16" s="10">
        <f>+reconciliación!B4</f>
        <v>53319.148903141824</v>
      </c>
    </row>
    <row r="17" spans="2:19" x14ac:dyDescent="0.25">
      <c r="B17" s="9" t="s">
        <v>26</v>
      </c>
      <c r="C17" s="10">
        <f>+reconciliación!N4</f>
        <v>54401.07745433379</v>
      </c>
    </row>
    <row r="18" spans="2:19" x14ac:dyDescent="0.25">
      <c r="B18" s="11" t="s">
        <v>27</v>
      </c>
      <c r="C18" s="12">
        <f>+reconciliación!AR4</f>
        <v>-1.0145778519058597</v>
      </c>
    </row>
    <row r="31" spans="2:19" x14ac:dyDescent="0.25">
      <c r="E31" s="31" t="s">
        <v>2</v>
      </c>
      <c r="F31" s="32"/>
      <c r="H31" s="31" t="s">
        <v>4</v>
      </c>
      <c r="I31" s="32"/>
      <c r="K31" s="31" t="s">
        <v>6</v>
      </c>
      <c r="L31" s="32"/>
      <c r="R31" s="31" t="s">
        <v>9</v>
      </c>
      <c r="S31" s="32"/>
    </row>
    <row r="32" spans="2:19" x14ac:dyDescent="0.25">
      <c r="E32" s="9" t="s">
        <v>25</v>
      </c>
      <c r="F32" s="10">
        <f>+reconciliación!D4</f>
        <v>38147.107129064025</v>
      </c>
      <c r="H32" s="9" t="s">
        <v>25</v>
      </c>
      <c r="I32" s="10">
        <f>+reconciliación!F4</f>
        <v>394.7167690648958</v>
      </c>
      <c r="K32" s="9" t="s">
        <v>25</v>
      </c>
      <c r="L32" s="10">
        <f>+reconciliación!H4</f>
        <v>8828.4744183575058</v>
      </c>
      <c r="R32" s="9" t="s">
        <v>25</v>
      </c>
      <c r="S32" s="10">
        <f>+reconciliación!K4</f>
        <v>990.075746268682</v>
      </c>
    </row>
    <row r="33" spans="5:19" x14ac:dyDescent="0.25">
      <c r="E33" s="9" t="s">
        <v>26</v>
      </c>
      <c r="F33" s="10">
        <f>+reconciliación!P4</f>
        <v>33727.816676117494</v>
      </c>
      <c r="H33" s="9" t="s">
        <v>26</v>
      </c>
      <c r="I33" s="10">
        <f>+reconciliación!R4</f>
        <v>394.66353517174974</v>
      </c>
      <c r="K33" s="9" t="s">
        <v>26</v>
      </c>
      <c r="L33" s="10">
        <f>+reconciliación!T4</f>
        <v>10761.391703169489</v>
      </c>
      <c r="R33" s="9" t="s">
        <v>26</v>
      </c>
      <c r="S33" s="10">
        <f>+reconciliación!W4</f>
        <v>989.25007534628935</v>
      </c>
    </row>
    <row r="34" spans="5:19" x14ac:dyDescent="0.25">
      <c r="E34" s="11" t="s">
        <v>27</v>
      </c>
      <c r="F34" s="12">
        <f>+reconciliación!AT4</f>
        <v>1.1584863926888711</v>
      </c>
      <c r="H34" s="11" t="s">
        <v>27</v>
      </c>
      <c r="I34" s="12">
        <f>+reconciliación!AV4</f>
        <v>6.7433027069221064E-3</v>
      </c>
      <c r="K34" s="11" t="s">
        <v>27</v>
      </c>
      <c r="L34" s="12">
        <f>+reconciliación!AX4</f>
        <v>-2.1894125680341419</v>
      </c>
      <c r="O34" s="31" t="s">
        <v>8</v>
      </c>
      <c r="P34" s="32"/>
      <c r="R34" s="11" t="s">
        <v>27</v>
      </c>
      <c r="S34" s="12">
        <f>+reconciliación!BA4</f>
        <v>0.11913531803780361</v>
      </c>
    </row>
    <row r="35" spans="5:19" x14ac:dyDescent="0.25">
      <c r="O35" s="9" t="s">
        <v>25</v>
      </c>
      <c r="P35" s="10">
        <f>+reconciliación!J4</f>
        <v>3623.4523291487403</v>
      </c>
    </row>
    <row r="36" spans="5:19" x14ac:dyDescent="0.25">
      <c r="O36" s="9" t="s">
        <v>26</v>
      </c>
      <c r="P36" s="10">
        <f>+reconciliación!V4</f>
        <v>5581.0785872234046</v>
      </c>
    </row>
    <row r="37" spans="5:19" x14ac:dyDescent="0.25">
      <c r="O37" s="11" t="s">
        <v>27</v>
      </c>
      <c r="P37" s="12">
        <f>+reconciliación!AZ4</f>
        <v>-5.4026549275303157</v>
      </c>
    </row>
  </sheetData>
  <mergeCells count="12">
    <mergeCell ref="K7:L7"/>
    <mergeCell ref="B15:C15"/>
    <mergeCell ref="M1:N1"/>
    <mergeCell ref="E4:F4"/>
    <mergeCell ref="R5:S5"/>
    <mergeCell ref="H6:I6"/>
    <mergeCell ref="O6:P6"/>
    <mergeCell ref="O34:P34"/>
    <mergeCell ref="E31:F31"/>
    <mergeCell ref="H31:I31"/>
    <mergeCell ref="K31:L31"/>
    <mergeCell ref="R31:S31"/>
  </mergeCells>
  <hyperlinks>
    <hyperlink ref="K6" location="Hoja1!L56" display="De sección 100" xr:uid="{D055E7D6-3EAD-4BB3-AEE0-1243D45C4E36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EB433-4E1C-4C27-812D-4CA4AF921A9C}">
  <sheetPr codeName="Hoja5"/>
  <dimension ref="A1"/>
  <sheetViews>
    <sheetView workbookViewId="0">
      <selection activeCell="A2" sqref="A2"/>
    </sheetView>
  </sheetViews>
  <sheetFormatPr defaultColWidth="11.42578125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844C6-6C85-4173-B4E0-74FE45A65254}">
  <sheetPr codeName="Hoja6"/>
  <dimension ref="A1:M20"/>
  <sheetViews>
    <sheetView zoomScale="85" zoomScaleNormal="85" workbookViewId="0">
      <selection activeCell="E43" sqref="E43"/>
    </sheetView>
  </sheetViews>
  <sheetFormatPr defaultColWidth="11.42578125" defaultRowHeight="15" x14ac:dyDescent="0.25"/>
  <cols>
    <col min="5" max="5" width="13.140625" bestFit="1" customWidth="1"/>
  </cols>
  <sheetData>
    <row r="1" spans="1:13" ht="19.5" thickBot="1" x14ac:dyDescent="0.3">
      <c r="A1" s="20"/>
      <c r="B1" s="21"/>
      <c r="C1" s="20"/>
      <c r="D1" s="20"/>
      <c r="E1" s="20"/>
      <c r="F1" s="20"/>
      <c r="G1" s="20"/>
      <c r="H1" s="20"/>
      <c r="I1" s="21"/>
      <c r="J1" s="20"/>
      <c r="L1" t="s">
        <v>37</v>
      </c>
    </row>
    <row r="2" spans="1:13" ht="18.75" thickBot="1" x14ac:dyDescent="0.3">
      <c r="A2" s="20"/>
      <c r="B2" s="20"/>
      <c r="C2" s="20"/>
      <c r="D2" s="20"/>
      <c r="E2" s="20"/>
      <c r="F2" s="20"/>
      <c r="G2" s="20"/>
      <c r="H2" s="20"/>
      <c r="I2" s="20"/>
      <c r="J2" s="20"/>
    </row>
    <row r="3" spans="1:13" ht="18.75" thickBot="1" x14ac:dyDescent="0.3">
      <c r="A3" s="20"/>
      <c r="B3" s="22"/>
      <c r="C3" s="22"/>
      <c r="D3" s="22"/>
      <c r="E3" s="22"/>
      <c r="F3" s="22"/>
      <c r="G3" s="22"/>
      <c r="H3" s="22"/>
      <c r="I3" s="22"/>
      <c r="J3" s="23"/>
    </row>
    <row r="4" spans="1:13" ht="19.5" thickBot="1" x14ac:dyDescent="0.3">
      <c r="A4" s="20"/>
      <c r="B4" s="22"/>
      <c r="C4" s="24"/>
      <c r="D4" s="22"/>
      <c r="E4" s="22"/>
      <c r="F4" s="22"/>
      <c r="G4" s="22"/>
      <c r="H4" s="22"/>
      <c r="I4" s="22"/>
      <c r="J4" s="22"/>
    </row>
    <row r="5" spans="1:13" ht="18.75" thickBot="1" x14ac:dyDescent="0.3">
      <c r="A5" s="20"/>
      <c r="B5" s="22"/>
      <c r="C5" s="22"/>
      <c r="D5" s="22"/>
      <c r="E5" s="22"/>
      <c r="F5" s="22"/>
      <c r="G5" s="22"/>
      <c r="H5" s="22"/>
      <c r="I5" s="22"/>
      <c r="J5" s="23"/>
    </row>
    <row r="6" spans="1:13" ht="18.75" thickBot="1" x14ac:dyDescent="0.3">
      <c r="A6" s="20"/>
      <c r="B6" s="22"/>
      <c r="C6" s="22"/>
      <c r="D6" s="22"/>
      <c r="E6" s="22"/>
      <c r="F6" s="22"/>
      <c r="G6" s="22"/>
      <c r="H6" s="22"/>
      <c r="I6" s="22"/>
      <c r="J6" s="23"/>
    </row>
    <row r="7" spans="1:13" ht="18.75" thickBot="1" x14ac:dyDescent="0.3">
      <c r="A7" s="20"/>
      <c r="B7" s="22"/>
      <c r="C7" s="22"/>
      <c r="D7" s="22"/>
      <c r="E7" s="22"/>
      <c r="F7" s="22"/>
      <c r="G7" s="22"/>
      <c r="H7" s="22"/>
      <c r="I7" s="22"/>
      <c r="J7" s="23"/>
    </row>
    <row r="8" spans="1:13" ht="18.75" thickBot="1" x14ac:dyDescent="0.3">
      <c r="A8" s="20"/>
      <c r="B8" s="22"/>
      <c r="C8" s="22"/>
      <c r="D8" s="22"/>
      <c r="E8" s="22"/>
      <c r="F8" s="22"/>
      <c r="G8" s="22"/>
      <c r="H8" s="22"/>
      <c r="I8" s="22"/>
      <c r="J8" s="22"/>
    </row>
    <row r="9" spans="1:13" ht="18.75" thickBot="1" x14ac:dyDescent="0.3">
      <c r="A9" s="20"/>
      <c r="B9" s="22"/>
      <c r="C9" s="22"/>
      <c r="D9" s="22"/>
      <c r="E9" s="22"/>
      <c r="F9" s="22"/>
      <c r="G9" s="22"/>
      <c r="H9" s="22"/>
      <c r="I9" s="22"/>
      <c r="J9" s="23"/>
    </row>
    <row r="10" spans="1:13" ht="19.5" thickBot="1" x14ac:dyDescent="0.3">
      <c r="A10" s="20"/>
      <c r="B10" s="24"/>
      <c r="C10" s="22"/>
      <c r="D10" s="22"/>
      <c r="E10" s="22"/>
      <c r="F10" s="22"/>
      <c r="G10" s="22"/>
      <c r="H10" s="22"/>
      <c r="I10" s="22"/>
      <c r="J10" s="23"/>
    </row>
    <row r="12" spans="1:13" x14ac:dyDescent="0.25">
      <c r="B12" t="s">
        <v>41</v>
      </c>
      <c r="C12">
        <v>2</v>
      </c>
    </row>
    <row r="13" spans="1:13" x14ac:dyDescent="0.25">
      <c r="B13" t="s">
        <v>42</v>
      </c>
      <c r="C13">
        <v>2</v>
      </c>
      <c r="M13" t="s">
        <v>46</v>
      </c>
    </row>
    <row r="14" spans="1:13" x14ac:dyDescent="0.25">
      <c r="B14" t="s">
        <v>38</v>
      </c>
      <c r="C14" t="s">
        <v>39</v>
      </c>
      <c r="D14" t="s">
        <v>40</v>
      </c>
      <c r="E14" t="s">
        <v>43</v>
      </c>
      <c r="F14" t="s">
        <v>45</v>
      </c>
      <c r="G14" t="s">
        <v>23</v>
      </c>
    </row>
    <row r="15" spans="1:13" x14ac:dyDescent="0.25">
      <c r="B15">
        <v>1</v>
      </c>
      <c r="C15">
        <v>2</v>
      </c>
      <c r="D15">
        <v>1.057111227421843</v>
      </c>
      <c r="E15">
        <v>0.99964198000000004</v>
      </c>
      <c r="F15">
        <f>+B15*(1-EXP(-$C$12*C15))</f>
        <v>0.98168436111126578</v>
      </c>
      <c r="G15">
        <f>(E15-F15)^2</f>
        <v>3.2247607615302554E-4</v>
      </c>
    </row>
    <row r="16" spans="1:13" x14ac:dyDescent="0.25">
      <c r="B16">
        <v>2</v>
      </c>
      <c r="C16">
        <v>4</v>
      </c>
      <c r="D16">
        <v>2.0633073951411491</v>
      </c>
      <c r="E16">
        <v>2.0081767699999999</v>
      </c>
      <c r="F16">
        <f t="shared" ref="F16:F19" si="0">+B16*(1-EXP(-$C$12*C16))</f>
        <v>1.999329074744195</v>
      </c>
      <c r="G16">
        <f t="shared" ref="G16:G19" si="1">(E16-F16)^2</f>
        <v>7.8281711339593896E-5</v>
      </c>
    </row>
    <row r="17" spans="2:7" x14ac:dyDescent="0.25">
      <c r="B17">
        <v>3</v>
      </c>
      <c r="C17">
        <v>1</v>
      </c>
      <c r="D17">
        <v>3.0212121885905208</v>
      </c>
      <c r="E17">
        <v>2.9570451000000002</v>
      </c>
      <c r="F17">
        <f t="shared" si="0"/>
        <v>2.593994150290162</v>
      </c>
      <c r="G17">
        <f t="shared" si="1"/>
        <v>0.13180599208521546</v>
      </c>
    </row>
    <row r="18" spans="2:7" x14ac:dyDescent="0.25">
      <c r="B18">
        <v>4</v>
      </c>
      <c r="C18">
        <v>5</v>
      </c>
      <c r="D18">
        <v>4.0283032579217606</v>
      </c>
      <c r="E18">
        <v>4.0020693300000003</v>
      </c>
      <c r="F18">
        <f t="shared" si="0"/>
        <v>3.99981840028095</v>
      </c>
      <c r="G18">
        <f t="shared" si="1"/>
        <v>5.0666846001037566E-6</v>
      </c>
    </row>
    <row r="19" spans="2:7" x14ac:dyDescent="0.25">
      <c r="B19">
        <v>5</v>
      </c>
      <c r="C19">
        <v>2</v>
      </c>
      <c r="D19">
        <v>5.0451783579485943</v>
      </c>
      <c r="E19">
        <v>5.00521847</v>
      </c>
      <c r="F19">
        <f t="shared" si="0"/>
        <v>4.9084218055563289</v>
      </c>
      <c r="G19">
        <f t="shared" si="1"/>
        <v>9.3695942474206571E-3</v>
      </c>
    </row>
    <row r="20" spans="2:7" x14ac:dyDescent="0.25">
      <c r="B20" s="28" t="s">
        <v>44</v>
      </c>
      <c r="C20" s="28"/>
      <c r="D20" s="28"/>
      <c r="F20" t="s">
        <v>24</v>
      </c>
      <c r="G20">
        <f>SUM(G15:G19)</f>
        <v>0.14158141080472883</v>
      </c>
    </row>
  </sheetData>
  <mergeCells count="1">
    <mergeCell ref="B20:D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datos instrumentos</vt:lpstr>
      <vt:lpstr>Error</vt:lpstr>
      <vt:lpstr>reconciliación</vt:lpstr>
      <vt:lpstr>Diagrama</vt:lpstr>
      <vt:lpstr>Seguimiento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HOROWITZ, GABRIEL IGNACIO</dc:creator>
  <cp:lastModifiedBy>Gustavo Kildegaard</cp:lastModifiedBy>
  <dcterms:created xsi:type="dcterms:W3CDTF">2018-12-21T19:19:08Z</dcterms:created>
  <dcterms:modified xsi:type="dcterms:W3CDTF">2020-10-22T21:37:43Z</dcterms:modified>
</cp:coreProperties>
</file>